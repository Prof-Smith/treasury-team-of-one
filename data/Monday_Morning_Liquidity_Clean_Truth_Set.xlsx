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comments8.xml" ContentType="application/vnd.openxmlformats-officedocument.spreadsheetml.comment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d3a084ea5dc626c/Desktop/"/>
    </mc:Choice>
  </mc:AlternateContent>
  <xr:revisionPtr revIDLastSave="0" documentId="8_{8FDA4C51-317B-4D43-AB4B-E4E65790B70F}" xr6:coauthVersionLast="47" xr6:coauthVersionMax="47" xr10:uidLastSave="{00000000-0000-0000-0000-000000000000}"/>
  <bookViews>
    <workbookView xWindow="-120" yWindow="-120" windowWidth="29040" windowHeight="15720" firstSheet="5" activeTab="10" xr2:uid="{00000000-000D-0000-FFFF-FFFF00000000}"/>
  </bookViews>
  <sheets>
    <sheet name="README" sheetId="1" r:id="rId1"/>
    <sheet name="Entities" sheetId="2" r:id="rId2"/>
    <sheet name="Alias Map" sheetId="3" r:id="rId3"/>
    <sheet name="Opening Balances" sheetId="4" r:id="rId4"/>
    <sheet name="Approved FX" sheetId="5" r:id="rId5"/>
    <sheet name="Facilities" sheetId="6" r:id="rId6"/>
    <sheet name="Scenario Assumptions" sheetId="7" r:id="rId7"/>
    <sheet name="Cash Flow Ledger" sheetId="8" r:id="rId8"/>
    <sheet name="Liquidity Forecast" sheetId="9" r:id="rId9"/>
    <sheet name="Scenario Summary" sheetId="10" r:id="rId10"/>
    <sheet name="Accepted Treatments" sheetId="11" r:id="rId11"/>
    <sheet name="Calculation Spec" sheetId="12" r:id="rId12"/>
    <sheet name="Model Check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0" l="1" a="1"/>
  <c r="C7" i="10" s="1"/>
  <c r="C6" i="10" a="1"/>
  <c r="C6" i="10" s="1"/>
  <c r="C5" i="10" a="1"/>
  <c r="C5" i="10" s="1"/>
  <c r="B7" i="10" a="1"/>
  <c r="B7" i="10" s="1"/>
  <c r="B6" i="10" a="1"/>
  <c r="B6" i="10" s="1"/>
  <c r="B5" i="10" a="1"/>
  <c r="B5" i="10"/>
  <c r="C6" i="13"/>
  <c r="E6" i="13" s="1"/>
  <c r="C5" i="13"/>
  <c r="E5" i="13" s="1"/>
  <c r="M184" i="9"/>
  <c r="J184" i="9"/>
  <c r="I184" i="9"/>
  <c r="H184" i="9"/>
  <c r="F184" i="9"/>
  <c r="M183" i="9"/>
  <c r="J183" i="9"/>
  <c r="I183" i="9"/>
  <c r="H183" i="9"/>
  <c r="F183" i="9"/>
  <c r="M182" i="9"/>
  <c r="J182" i="9"/>
  <c r="I182" i="9"/>
  <c r="H182" i="9"/>
  <c r="F182" i="9"/>
  <c r="M181" i="9"/>
  <c r="J181" i="9"/>
  <c r="I181" i="9"/>
  <c r="H181" i="9"/>
  <c r="F181" i="9"/>
  <c r="M180" i="9"/>
  <c r="J180" i="9"/>
  <c r="I180" i="9"/>
  <c r="H180" i="9"/>
  <c r="F180" i="9"/>
  <c r="M179" i="9"/>
  <c r="J179" i="9"/>
  <c r="I179" i="9"/>
  <c r="H179" i="9"/>
  <c r="F179" i="9"/>
  <c r="M178" i="9"/>
  <c r="J178" i="9"/>
  <c r="I178" i="9"/>
  <c r="H178" i="9"/>
  <c r="F178" i="9"/>
  <c r="M177" i="9"/>
  <c r="J177" i="9"/>
  <c r="I177" i="9"/>
  <c r="H177" i="9"/>
  <c r="F177" i="9"/>
  <c r="M176" i="9"/>
  <c r="J176" i="9"/>
  <c r="I176" i="9"/>
  <c r="H176" i="9"/>
  <c r="F176" i="9"/>
  <c r="M175" i="9"/>
  <c r="J175" i="9"/>
  <c r="I175" i="9"/>
  <c r="H175" i="9"/>
  <c r="G175" i="9"/>
  <c r="L175" i="9" s="1"/>
  <c r="O175" i="9" s="1"/>
  <c r="F175" i="9"/>
  <c r="M174" i="9"/>
  <c r="J174" i="9"/>
  <c r="I174" i="9"/>
  <c r="H174" i="9"/>
  <c r="F174" i="9"/>
  <c r="M173" i="9"/>
  <c r="J173" i="9"/>
  <c r="I173" i="9"/>
  <c r="H173" i="9"/>
  <c r="F173" i="9"/>
  <c r="M172" i="9"/>
  <c r="J172" i="9"/>
  <c r="I172" i="9"/>
  <c r="H172" i="9"/>
  <c r="F172" i="9"/>
  <c r="M171" i="9"/>
  <c r="J171" i="9"/>
  <c r="I171" i="9"/>
  <c r="H171" i="9"/>
  <c r="F171" i="9"/>
  <c r="M170" i="9"/>
  <c r="J170" i="9"/>
  <c r="I170" i="9"/>
  <c r="H170" i="9"/>
  <c r="F170" i="9"/>
  <c r="M169" i="9"/>
  <c r="J169" i="9"/>
  <c r="I169" i="9"/>
  <c r="H169" i="9"/>
  <c r="F169" i="9"/>
  <c r="M168" i="9"/>
  <c r="J168" i="9"/>
  <c r="I168" i="9"/>
  <c r="H168" i="9"/>
  <c r="F168" i="9"/>
  <c r="M167" i="9"/>
  <c r="J167" i="9"/>
  <c r="I167" i="9"/>
  <c r="H167" i="9"/>
  <c r="F167" i="9"/>
  <c r="M166" i="9"/>
  <c r="J166" i="9"/>
  <c r="I166" i="9"/>
  <c r="H166" i="9"/>
  <c r="F166" i="9"/>
  <c r="M165" i="9"/>
  <c r="J165" i="9"/>
  <c r="L165" i="9" s="1"/>
  <c r="I165" i="9"/>
  <c r="H165" i="9"/>
  <c r="G165" i="9"/>
  <c r="F165" i="9"/>
  <c r="M164" i="9"/>
  <c r="J164" i="9"/>
  <c r="I164" i="9"/>
  <c r="H164" i="9"/>
  <c r="F164" i="9"/>
  <c r="M163" i="9"/>
  <c r="J163" i="9"/>
  <c r="I163" i="9"/>
  <c r="H163" i="9"/>
  <c r="F163" i="9"/>
  <c r="M162" i="9"/>
  <c r="J162" i="9"/>
  <c r="I162" i="9"/>
  <c r="H162" i="9"/>
  <c r="F162" i="9"/>
  <c r="M161" i="9"/>
  <c r="J161" i="9"/>
  <c r="I161" i="9"/>
  <c r="H161" i="9"/>
  <c r="F161" i="9"/>
  <c r="M160" i="9"/>
  <c r="J160" i="9"/>
  <c r="I160" i="9"/>
  <c r="H160" i="9"/>
  <c r="F160" i="9"/>
  <c r="M159" i="9"/>
  <c r="J159" i="9"/>
  <c r="I159" i="9"/>
  <c r="H159" i="9"/>
  <c r="F159" i="9"/>
  <c r="M158" i="9"/>
  <c r="J158" i="9"/>
  <c r="I158" i="9"/>
  <c r="H158" i="9"/>
  <c r="F158" i="9"/>
  <c r="M157" i="9"/>
  <c r="J157" i="9"/>
  <c r="I157" i="9"/>
  <c r="H157" i="9"/>
  <c r="F157" i="9"/>
  <c r="M156" i="9"/>
  <c r="J156" i="9"/>
  <c r="I156" i="9"/>
  <c r="H156" i="9"/>
  <c r="F156" i="9"/>
  <c r="M155" i="9"/>
  <c r="J155" i="9"/>
  <c r="I155" i="9"/>
  <c r="H155" i="9"/>
  <c r="G155" i="9"/>
  <c r="L155" i="9" s="1"/>
  <c r="F155" i="9"/>
  <c r="M154" i="9"/>
  <c r="J154" i="9"/>
  <c r="I154" i="9"/>
  <c r="H154" i="9"/>
  <c r="F154" i="9"/>
  <c r="M153" i="9"/>
  <c r="J153" i="9"/>
  <c r="I153" i="9"/>
  <c r="H153" i="9"/>
  <c r="F153" i="9"/>
  <c r="M152" i="9"/>
  <c r="J152" i="9"/>
  <c r="I152" i="9"/>
  <c r="H152" i="9"/>
  <c r="F152" i="9"/>
  <c r="M151" i="9"/>
  <c r="J151" i="9"/>
  <c r="I151" i="9"/>
  <c r="H151" i="9"/>
  <c r="F151" i="9"/>
  <c r="M150" i="9"/>
  <c r="J150" i="9"/>
  <c r="I150" i="9"/>
  <c r="H150" i="9"/>
  <c r="F150" i="9"/>
  <c r="M149" i="9"/>
  <c r="J149" i="9"/>
  <c r="I149" i="9"/>
  <c r="H149" i="9"/>
  <c r="F149" i="9"/>
  <c r="M148" i="9"/>
  <c r="J148" i="9"/>
  <c r="I148" i="9"/>
  <c r="H148" i="9"/>
  <c r="F148" i="9"/>
  <c r="M147" i="9"/>
  <c r="J147" i="9"/>
  <c r="I147" i="9"/>
  <c r="H147" i="9"/>
  <c r="F147" i="9"/>
  <c r="M146" i="9"/>
  <c r="J146" i="9"/>
  <c r="I146" i="9"/>
  <c r="H146" i="9"/>
  <c r="F146" i="9"/>
  <c r="M145" i="9"/>
  <c r="J145" i="9"/>
  <c r="I145" i="9"/>
  <c r="H145" i="9"/>
  <c r="L145" i="9" s="1"/>
  <c r="G145" i="9"/>
  <c r="F145" i="9"/>
  <c r="M144" i="9"/>
  <c r="J144" i="9"/>
  <c r="I144" i="9"/>
  <c r="H144" i="9"/>
  <c r="F144" i="9"/>
  <c r="M143" i="9"/>
  <c r="J143" i="9"/>
  <c r="I143" i="9"/>
  <c r="H143" i="9"/>
  <c r="F143" i="9"/>
  <c r="M142" i="9"/>
  <c r="J142" i="9"/>
  <c r="I142" i="9"/>
  <c r="H142" i="9"/>
  <c r="F142" i="9"/>
  <c r="M141" i="9"/>
  <c r="J141" i="9"/>
  <c r="I141" i="9"/>
  <c r="H141" i="9"/>
  <c r="F141" i="9"/>
  <c r="M140" i="9"/>
  <c r="J140" i="9"/>
  <c r="I140" i="9"/>
  <c r="H140" i="9"/>
  <c r="F140" i="9"/>
  <c r="M139" i="9"/>
  <c r="J139" i="9"/>
  <c r="I139" i="9"/>
  <c r="H139" i="9"/>
  <c r="F139" i="9"/>
  <c r="M138" i="9"/>
  <c r="J138" i="9"/>
  <c r="I138" i="9"/>
  <c r="H138" i="9"/>
  <c r="F138" i="9"/>
  <c r="M137" i="9"/>
  <c r="J137" i="9"/>
  <c r="I137" i="9"/>
  <c r="H137" i="9"/>
  <c r="F137" i="9"/>
  <c r="M136" i="9"/>
  <c r="J136" i="9"/>
  <c r="I136" i="9"/>
  <c r="H136" i="9"/>
  <c r="F136" i="9"/>
  <c r="M135" i="9"/>
  <c r="J135" i="9"/>
  <c r="I135" i="9"/>
  <c r="H135" i="9"/>
  <c r="L135" i="9" s="1"/>
  <c r="G135" i="9"/>
  <c r="F135" i="9"/>
  <c r="M134" i="9"/>
  <c r="J134" i="9"/>
  <c r="I134" i="9"/>
  <c r="H134" i="9"/>
  <c r="F134" i="9"/>
  <c r="M133" i="9"/>
  <c r="J133" i="9"/>
  <c r="I133" i="9"/>
  <c r="H133" i="9"/>
  <c r="F133" i="9"/>
  <c r="M132" i="9"/>
  <c r="J132" i="9"/>
  <c r="I132" i="9"/>
  <c r="H132" i="9"/>
  <c r="F132" i="9"/>
  <c r="M131" i="9"/>
  <c r="J131" i="9"/>
  <c r="I131" i="9"/>
  <c r="H131" i="9"/>
  <c r="F131" i="9"/>
  <c r="M130" i="9"/>
  <c r="J130" i="9"/>
  <c r="I130" i="9"/>
  <c r="H130" i="9"/>
  <c r="F130" i="9"/>
  <c r="M129" i="9"/>
  <c r="J129" i="9"/>
  <c r="I129" i="9"/>
  <c r="H129" i="9"/>
  <c r="F129" i="9"/>
  <c r="M128" i="9"/>
  <c r="J128" i="9"/>
  <c r="I128" i="9"/>
  <c r="H128" i="9"/>
  <c r="F128" i="9"/>
  <c r="M127" i="9"/>
  <c r="J127" i="9"/>
  <c r="I127" i="9"/>
  <c r="H127" i="9"/>
  <c r="F127" i="9"/>
  <c r="M126" i="9"/>
  <c r="J126" i="9"/>
  <c r="I126" i="9"/>
  <c r="H126" i="9"/>
  <c r="F126" i="9"/>
  <c r="O125" i="9"/>
  <c r="M125" i="9"/>
  <c r="J125" i="9"/>
  <c r="I125" i="9"/>
  <c r="H125" i="9"/>
  <c r="L125" i="9" s="1"/>
  <c r="G126" i="9" s="1"/>
  <c r="L126" i="9" s="1"/>
  <c r="G125" i="9"/>
  <c r="F125" i="9"/>
  <c r="M124" i="9"/>
  <c r="J124" i="9"/>
  <c r="I124" i="9"/>
  <c r="H124" i="9"/>
  <c r="F124" i="9"/>
  <c r="M123" i="9"/>
  <c r="J123" i="9"/>
  <c r="I123" i="9"/>
  <c r="H123" i="9"/>
  <c r="F123" i="9"/>
  <c r="M122" i="9"/>
  <c r="J122" i="9"/>
  <c r="I122" i="9"/>
  <c r="H122" i="9"/>
  <c r="F122" i="9"/>
  <c r="M121" i="9"/>
  <c r="J121" i="9"/>
  <c r="I121" i="9"/>
  <c r="H121" i="9"/>
  <c r="F121" i="9"/>
  <c r="M120" i="9"/>
  <c r="J120" i="9"/>
  <c r="I120" i="9"/>
  <c r="H120" i="9"/>
  <c r="F120" i="9"/>
  <c r="M119" i="9"/>
  <c r="J119" i="9"/>
  <c r="I119" i="9"/>
  <c r="H119" i="9"/>
  <c r="F119" i="9"/>
  <c r="M118" i="9"/>
  <c r="J118" i="9"/>
  <c r="I118" i="9"/>
  <c r="H118" i="9"/>
  <c r="F118" i="9"/>
  <c r="M117" i="9"/>
  <c r="J117" i="9"/>
  <c r="I117" i="9"/>
  <c r="H117" i="9"/>
  <c r="F117" i="9"/>
  <c r="M116" i="9"/>
  <c r="J116" i="9"/>
  <c r="I116" i="9"/>
  <c r="H116" i="9"/>
  <c r="F116" i="9"/>
  <c r="P115" i="9"/>
  <c r="M115" i="9"/>
  <c r="J115" i="9"/>
  <c r="I115" i="9"/>
  <c r="H115" i="9"/>
  <c r="G115" i="9"/>
  <c r="L115" i="9" s="1"/>
  <c r="F115" i="9"/>
  <c r="M114" i="9"/>
  <c r="J114" i="9"/>
  <c r="I114" i="9"/>
  <c r="H114" i="9"/>
  <c r="F114" i="9"/>
  <c r="M113" i="9"/>
  <c r="J113" i="9"/>
  <c r="I113" i="9"/>
  <c r="H113" i="9"/>
  <c r="F113" i="9"/>
  <c r="M112" i="9"/>
  <c r="J112" i="9"/>
  <c r="I112" i="9"/>
  <c r="H112" i="9"/>
  <c r="F112" i="9"/>
  <c r="M111" i="9"/>
  <c r="J111" i="9"/>
  <c r="I111" i="9"/>
  <c r="H111" i="9"/>
  <c r="F111" i="9"/>
  <c r="M110" i="9"/>
  <c r="J110" i="9"/>
  <c r="I110" i="9"/>
  <c r="H110" i="9"/>
  <c r="F110" i="9"/>
  <c r="M109" i="9"/>
  <c r="J109" i="9"/>
  <c r="I109" i="9"/>
  <c r="H109" i="9"/>
  <c r="F109" i="9"/>
  <c r="M108" i="9"/>
  <c r="J108" i="9"/>
  <c r="I108" i="9"/>
  <c r="H108" i="9"/>
  <c r="F108" i="9"/>
  <c r="M107" i="9"/>
  <c r="J107" i="9"/>
  <c r="I107" i="9"/>
  <c r="H107" i="9"/>
  <c r="F107" i="9"/>
  <c r="M106" i="9"/>
  <c r="J106" i="9"/>
  <c r="I106" i="9"/>
  <c r="H106" i="9"/>
  <c r="G106" i="9"/>
  <c r="L106" i="9" s="1"/>
  <c r="F106" i="9"/>
  <c r="M105" i="9"/>
  <c r="J105" i="9"/>
  <c r="I105" i="9"/>
  <c r="H105" i="9"/>
  <c r="G105" i="9"/>
  <c r="L105" i="9" s="1"/>
  <c r="F105" i="9"/>
  <c r="M104" i="9"/>
  <c r="J104" i="9"/>
  <c r="I104" i="9"/>
  <c r="H104" i="9"/>
  <c r="F104" i="9"/>
  <c r="M103" i="9"/>
  <c r="J103" i="9"/>
  <c r="I103" i="9"/>
  <c r="H103" i="9"/>
  <c r="F103" i="9"/>
  <c r="M102" i="9"/>
  <c r="J102" i="9"/>
  <c r="I102" i="9"/>
  <c r="H102" i="9"/>
  <c r="F102" i="9"/>
  <c r="M101" i="9"/>
  <c r="J101" i="9"/>
  <c r="I101" i="9"/>
  <c r="H101" i="9"/>
  <c r="F101" i="9"/>
  <c r="M100" i="9"/>
  <c r="J100" i="9"/>
  <c r="I100" i="9"/>
  <c r="H100" i="9"/>
  <c r="F100" i="9"/>
  <c r="M99" i="9"/>
  <c r="J99" i="9"/>
  <c r="I99" i="9"/>
  <c r="H99" i="9"/>
  <c r="F99" i="9"/>
  <c r="M98" i="9"/>
  <c r="J98" i="9"/>
  <c r="I98" i="9"/>
  <c r="H98" i="9"/>
  <c r="F98" i="9"/>
  <c r="M97" i="9"/>
  <c r="J97" i="9"/>
  <c r="I97" i="9"/>
  <c r="H97" i="9"/>
  <c r="F97" i="9"/>
  <c r="M96" i="9"/>
  <c r="J96" i="9"/>
  <c r="I96" i="9"/>
  <c r="H96" i="9"/>
  <c r="F96" i="9"/>
  <c r="M95" i="9"/>
  <c r="J95" i="9"/>
  <c r="L95" i="9" s="1"/>
  <c r="I95" i="9"/>
  <c r="H95" i="9"/>
  <c r="G95" i="9"/>
  <c r="F95" i="9"/>
  <c r="M94" i="9"/>
  <c r="J94" i="9"/>
  <c r="I94" i="9"/>
  <c r="H94" i="9"/>
  <c r="F94" i="9"/>
  <c r="M93" i="9"/>
  <c r="J93" i="9"/>
  <c r="I93" i="9"/>
  <c r="H93" i="9"/>
  <c r="F93" i="9"/>
  <c r="M92" i="9"/>
  <c r="J92" i="9"/>
  <c r="I92" i="9"/>
  <c r="H92" i="9"/>
  <c r="F92" i="9"/>
  <c r="M91" i="9"/>
  <c r="J91" i="9"/>
  <c r="I91" i="9"/>
  <c r="H91" i="9"/>
  <c r="F91" i="9"/>
  <c r="M90" i="9"/>
  <c r="J90" i="9"/>
  <c r="I90" i="9"/>
  <c r="H90" i="9"/>
  <c r="F90" i="9"/>
  <c r="M89" i="9"/>
  <c r="J89" i="9"/>
  <c r="I89" i="9"/>
  <c r="H89" i="9"/>
  <c r="F89" i="9"/>
  <c r="M88" i="9"/>
  <c r="J88" i="9"/>
  <c r="I88" i="9"/>
  <c r="H88" i="9"/>
  <c r="F88" i="9"/>
  <c r="M87" i="9"/>
  <c r="J87" i="9"/>
  <c r="I87" i="9"/>
  <c r="H87" i="9"/>
  <c r="F87" i="9"/>
  <c r="M86" i="9"/>
  <c r="J86" i="9"/>
  <c r="I86" i="9"/>
  <c r="H86" i="9"/>
  <c r="F86" i="9"/>
  <c r="M85" i="9"/>
  <c r="J85" i="9"/>
  <c r="I85" i="9"/>
  <c r="H85" i="9"/>
  <c r="G85" i="9"/>
  <c r="F85" i="9"/>
  <c r="M84" i="9"/>
  <c r="J84" i="9"/>
  <c r="I84" i="9"/>
  <c r="H84" i="9"/>
  <c r="F84" i="9"/>
  <c r="M83" i="9"/>
  <c r="J83" i="9"/>
  <c r="I83" i="9"/>
  <c r="H83" i="9"/>
  <c r="F83" i="9"/>
  <c r="M82" i="9"/>
  <c r="J82" i="9"/>
  <c r="I82" i="9"/>
  <c r="H82" i="9"/>
  <c r="F82" i="9"/>
  <c r="M81" i="9"/>
  <c r="J81" i="9"/>
  <c r="I81" i="9"/>
  <c r="H81" i="9"/>
  <c r="F81" i="9"/>
  <c r="M80" i="9"/>
  <c r="J80" i="9"/>
  <c r="I80" i="9"/>
  <c r="H80" i="9"/>
  <c r="F80" i="9"/>
  <c r="M79" i="9"/>
  <c r="J79" i="9"/>
  <c r="I79" i="9"/>
  <c r="H79" i="9"/>
  <c r="F79" i="9"/>
  <c r="M78" i="9"/>
  <c r="J78" i="9"/>
  <c r="I78" i="9"/>
  <c r="H78" i="9"/>
  <c r="F78" i="9"/>
  <c r="M77" i="9"/>
  <c r="J77" i="9"/>
  <c r="I77" i="9"/>
  <c r="H77" i="9"/>
  <c r="F77" i="9"/>
  <c r="M76" i="9"/>
  <c r="J76" i="9"/>
  <c r="I76" i="9"/>
  <c r="H76" i="9"/>
  <c r="F76" i="9"/>
  <c r="O75" i="9"/>
  <c r="M75" i="9"/>
  <c r="L75" i="9"/>
  <c r="J75" i="9"/>
  <c r="I75" i="9"/>
  <c r="H75" i="9"/>
  <c r="G75" i="9"/>
  <c r="F75" i="9"/>
  <c r="M74" i="9"/>
  <c r="J74" i="9"/>
  <c r="I74" i="9"/>
  <c r="H74" i="9"/>
  <c r="F74" i="9"/>
  <c r="M73" i="9"/>
  <c r="J73" i="9"/>
  <c r="I73" i="9"/>
  <c r="H73" i="9"/>
  <c r="F73" i="9"/>
  <c r="M72" i="9"/>
  <c r="J72" i="9"/>
  <c r="I72" i="9"/>
  <c r="H72" i="9"/>
  <c r="F72" i="9"/>
  <c r="M71" i="9"/>
  <c r="J71" i="9"/>
  <c r="I71" i="9"/>
  <c r="H71" i="9"/>
  <c r="F71" i="9"/>
  <c r="M70" i="9"/>
  <c r="J70" i="9"/>
  <c r="I70" i="9"/>
  <c r="H70" i="9"/>
  <c r="F70" i="9"/>
  <c r="M69" i="9"/>
  <c r="J69" i="9"/>
  <c r="I69" i="9"/>
  <c r="H69" i="9"/>
  <c r="F69" i="9"/>
  <c r="M68" i="9"/>
  <c r="J68" i="9"/>
  <c r="I68" i="9"/>
  <c r="H68" i="9"/>
  <c r="F68" i="9"/>
  <c r="M67" i="9"/>
  <c r="J67" i="9"/>
  <c r="I67" i="9"/>
  <c r="H67" i="9"/>
  <c r="F67" i="9"/>
  <c r="M66" i="9"/>
  <c r="J66" i="9"/>
  <c r="I66" i="9"/>
  <c r="H66" i="9"/>
  <c r="F66" i="9"/>
  <c r="M65" i="9"/>
  <c r="J65" i="9"/>
  <c r="I65" i="9"/>
  <c r="H65" i="9"/>
  <c r="G65" i="9"/>
  <c r="L65" i="9" s="1"/>
  <c r="F65" i="9"/>
  <c r="M64" i="9"/>
  <c r="J64" i="9"/>
  <c r="I64" i="9"/>
  <c r="H64" i="9"/>
  <c r="F64" i="9"/>
  <c r="M63" i="9"/>
  <c r="J63" i="9"/>
  <c r="I63" i="9"/>
  <c r="H63" i="9"/>
  <c r="F63" i="9"/>
  <c r="M62" i="9"/>
  <c r="J62" i="9"/>
  <c r="I62" i="9"/>
  <c r="H62" i="9"/>
  <c r="F62" i="9"/>
  <c r="M61" i="9"/>
  <c r="J61" i="9"/>
  <c r="I61" i="9"/>
  <c r="H61" i="9"/>
  <c r="F61" i="9"/>
  <c r="M60" i="9"/>
  <c r="J60" i="9"/>
  <c r="I60" i="9"/>
  <c r="H60" i="9"/>
  <c r="F60" i="9"/>
  <c r="M59" i="9"/>
  <c r="J59" i="9"/>
  <c r="I59" i="9"/>
  <c r="H59" i="9"/>
  <c r="F59" i="9"/>
  <c r="M58" i="9"/>
  <c r="J58" i="9"/>
  <c r="I58" i="9"/>
  <c r="H58" i="9"/>
  <c r="F58" i="9"/>
  <c r="M57" i="9"/>
  <c r="J57" i="9"/>
  <c r="I57" i="9"/>
  <c r="H57" i="9"/>
  <c r="G57" i="9"/>
  <c r="L57" i="9" s="1"/>
  <c r="F57" i="9"/>
  <c r="M56" i="9"/>
  <c r="J56" i="9"/>
  <c r="I56" i="9"/>
  <c r="H56" i="9"/>
  <c r="G56" i="9"/>
  <c r="L56" i="9" s="1"/>
  <c r="F56" i="9"/>
  <c r="M55" i="9"/>
  <c r="J55" i="9"/>
  <c r="I55" i="9"/>
  <c r="H55" i="9"/>
  <c r="L55" i="9" s="1"/>
  <c r="G55" i="9"/>
  <c r="F55" i="9"/>
  <c r="M54" i="9"/>
  <c r="J54" i="9"/>
  <c r="I54" i="9"/>
  <c r="H54" i="9"/>
  <c r="F54" i="9"/>
  <c r="M53" i="9"/>
  <c r="J53" i="9"/>
  <c r="I53" i="9"/>
  <c r="H53" i="9"/>
  <c r="F53" i="9"/>
  <c r="M52" i="9"/>
  <c r="J52" i="9"/>
  <c r="I52" i="9"/>
  <c r="H52" i="9"/>
  <c r="F52" i="9"/>
  <c r="M51" i="9"/>
  <c r="J51" i="9"/>
  <c r="I51" i="9"/>
  <c r="H51" i="9"/>
  <c r="F51" i="9"/>
  <c r="M50" i="9"/>
  <c r="J50" i="9"/>
  <c r="I50" i="9"/>
  <c r="H50" i="9"/>
  <c r="F50" i="9"/>
  <c r="M49" i="9"/>
  <c r="J49" i="9"/>
  <c r="I49" i="9"/>
  <c r="H49" i="9"/>
  <c r="F49" i="9"/>
  <c r="M48" i="9"/>
  <c r="J48" i="9"/>
  <c r="I48" i="9"/>
  <c r="H48" i="9"/>
  <c r="F48" i="9"/>
  <c r="M47" i="9"/>
  <c r="J47" i="9"/>
  <c r="I47" i="9"/>
  <c r="H47" i="9"/>
  <c r="F47" i="9"/>
  <c r="M46" i="9"/>
  <c r="J46" i="9"/>
  <c r="I46" i="9"/>
  <c r="H46" i="9"/>
  <c r="F46" i="9"/>
  <c r="M45" i="9"/>
  <c r="J45" i="9"/>
  <c r="L45" i="9" s="1"/>
  <c r="I45" i="9"/>
  <c r="H45" i="9"/>
  <c r="G45" i="9"/>
  <c r="F45" i="9"/>
  <c r="M44" i="9"/>
  <c r="J44" i="9"/>
  <c r="I44" i="9"/>
  <c r="H44" i="9"/>
  <c r="F44" i="9"/>
  <c r="M43" i="9"/>
  <c r="J43" i="9"/>
  <c r="I43" i="9"/>
  <c r="H43" i="9"/>
  <c r="F43" i="9"/>
  <c r="M42" i="9"/>
  <c r="J42" i="9"/>
  <c r="I42" i="9"/>
  <c r="H42" i="9"/>
  <c r="F42" i="9"/>
  <c r="M41" i="9"/>
  <c r="J41" i="9"/>
  <c r="I41" i="9"/>
  <c r="H41" i="9"/>
  <c r="F41" i="9"/>
  <c r="M40" i="9"/>
  <c r="J40" i="9"/>
  <c r="I40" i="9"/>
  <c r="H40" i="9"/>
  <c r="F40" i="9"/>
  <c r="M39" i="9"/>
  <c r="J39" i="9"/>
  <c r="I39" i="9"/>
  <c r="H39" i="9"/>
  <c r="F39" i="9"/>
  <c r="M38" i="9"/>
  <c r="J38" i="9"/>
  <c r="I38" i="9"/>
  <c r="H38" i="9"/>
  <c r="F38" i="9"/>
  <c r="M37" i="9"/>
  <c r="J37" i="9"/>
  <c r="I37" i="9"/>
  <c r="H37" i="9"/>
  <c r="F37" i="9"/>
  <c r="M36" i="9"/>
  <c r="J36" i="9"/>
  <c r="I36" i="9"/>
  <c r="H36" i="9"/>
  <c r="F36" i="9"/>
  <c r="M35" i="9"/>
  <c r="L35" i="9"/>
  <c r="J35" i="9"/>
  <c r="I35" i="9"/>
  <c r="H35" i="9"/>
  <c r="G35" i="9"/>
  <c r="F35" i="9"/>
  <c r="M34" i="9"/>
  <c r="J34" i="9"/>
  <c r="I34" i="9"/>
  <c r="H34" i="9"/>
  <c r="F34" i="9"/>
  <c r="M33" i="9"/>
  <c r="J33" i="9"/>
  <c r="I33" i="9"/>
  <c r="H33" i="9"/>
  <c r="F33" i="9"/>
  <c r="M32" i="9"/>
  <c r="J32" i="9"/>
  <c r="I32" i="9"/>
  <c r="H32" i="9"/>
  <c r="F32" i="9"/>
  <c r="M31" i="9"/>
  <c r="J31" i="9"/>
  <c r="I31" i="9"/>
  <c r="H31" i="9"/>
  <c r="F31" i="9"/>
  <c r="M30" i="9"/>
  <c r="J30" i="9"/>
  <c r="I30" i="9"/>
  <c r="H30" i="9"/>
  <c r="F30" i="9"/>
  <c r="M29" i="9"/>
  <c r="J29" i="9"/>
  <c r="I29" i="9"/>
  <c r="H29" i="9"/>
  <c r="F29" i="9"/>
  <c r="M28" i="9"/>
  <c r="J28" i="9"/>
  <c r="I28" i="9"/>
  <c r="H28" i="9"/>
  <c r="F28" i="9"/>
  <c r="M27" i="9"/>
  <c r="J27" i="9"/>
  <c r="I27" i="9"/>
  <c r="H27" i="9"/>
  <c r="F27" i="9"/>
  <c r="M26" i="9"/>
  <c r="J26" i="9"/>
  <c r="I26" i="9"/>
  <c r="H26" i="9"/>
  <c r="F26" i="9"/>
  <c r="P25" i="9"/>
  <c r="M25" i="9"/>
  <c r="J25" i="9"/>
  <c r="I25" i="9"/>
  <c r="H25" i="9"/>
  <c r="G25" i="9"/>
  <c r="L25" i="9" s="1"/>
  <c r="F25" i="9"/>
  <c r="M24" i="9"/>
  <c r="J24" i="9"/>
  <c r="I24" i="9"/>
  <c r="H24" i="9"/>
  <c r="F24" i="9"/>
  <c r="M23" i="9"/>
  <c r="J23" i="9"/>
  <c r="I23" i="9"/>
  <c r="H23" i="9"/>
  <c r="F23" i="9"/>
  <c r="M22" i="9"/>
  <c r="J22" i="9"/>
  <c r="I22" i="9"/>
  <c r="H22" i="9"/>
  <c r="F22" i="9"/>
  <c r="M21" i="9"/>
  <c r="J21" i="9"/>
  <c r="I21" i="9"/>
  <c r="H21" i="9"/>
  <c r="F21" i="9"/>
  <c r="M20" i="9"/>
  <c r="J20" i="9"/>
  <c r="I20" i="9"/>
  <c r="H20" i="9"/>
  <c r="F20" i="9"/>
  <c r="M19" i="9"/>
  <c r="J19" i="9"/>
  <c r="I19" i="9"/>
  <c r="H19" i="9"/>
  <c r="F19" i="9"/>
  <c r="M18" i="9"/>
  <c r="J18" i="9"/>
  <c r="I18" i="9"/>
  <c r="H18" i="9"/>
  <c r="F18" i="9"/>
  <c r="M17" i="9"/>
  <c r="J17" i="9"/>
  <c r="I17" i="9"/>
  <c r="H17" i="9"/>
  <c r="F17" i="9"/>
  <c r="M16" i="9"/>
  <c r="J16" i="9"/>
  <c r="I16" i="9"/>
  <c r="H16" i="9"/>
  <c r="F16" i="9"/>
  <c r="M15" i="9"/>
  <c r="L15" i="9"/>
  <c r="J15" i="9"/>
  <c r="I15" i="9"/>
  <c r="H15" i="9"/>
  <c r="G15" i="9"/>
  <c r="F15" i="9"/>
  <c r="M14" i="9"/>
  <c r="J14" i="9"/>
  <c r="I14" i="9"/>
  <c r="H14" i="9"/>
  <c r="F14" i="9"/>
  <c r="M13" i="9"/>
  <c r="J13" i="9"/>
  <c r="I13" i="9"/>
  <c r="H13" i="9"/>
  <c r="F13" i="9"/>
  <c r="M12" i="9"/>
  <c r="J12" i="9"/>
  <c r="I12" i="9"/>
  <c r="H12" i="9"/>
  <c r="F12" i="9"/>
  <c r="M11" i="9"/>
  <c r="J11" i="9"/>
  <c r="I11" i="9"/>
  <c r="H11" i="9"/>
  <c r="F11" i="9"/>
  <c r="M10" i="9"/>
  <c r="J10" i="9"/>
  <c r="I10" i="9"/>
  <c r="H10" i="9"/>
  <c r="F10" i="9"/>
  <c r="M9" i="9"/>
  <c r="J9" i="9"/>
  <c r="I9" i="9"/>
  <c r="H9" i="9"/>
  <c r="F9" i="9"/>
  <c r="M8" i="9"/>
  <c r="J8" i="9"/>
  <c r="I8" i="9"/>
  <c r="H8" i="9"/>
  <c r="F8" i="9"/>
  <c r="M7" i="9"/>
  <c r="J7" i="9"/>
  <c r="I7" i="9"/>
  <c r="H7" i="9"/>
  <c r="F7" i="9"/>
  <c r="M6" i="9"/>
  <c r="J6" i="9"/>
  <c r="I6" i="9"/>
  <c r="H6" i="9"/>
  <c r="F6" i="9"/>
  <c r="M5" i="9"/>
  <c r="J5" i="9"/>
  <c r="I5" i="9"/>
  <c r="H5" i="9"/>
  <c r="G5" i="9"/>
  <c r="L5" i="9" s="1"/>
  <c r="F5" i="9"/>
  <c r="G8" i="6"/>
  <c r="G7" i="6"/>
  <c r="G6" i="6"/>
  <c r="G5" i="6"/>
  <c r="N155" i="9" l="1"/>
  <c r="G156" i="9"/>
  <c r="L156" i="9" s="1"/>
  <c r="P155" i="9"/>
  <c r="O155" i="9"/>
  <c r="G46" i="9"/>
  <c r="L46" i="9" s="1"/>
  <c r="P45" i="9"/>
  <c r="O45" i="9"/>
  <c r="N45" i="9"/>
  <c r="G58" i="9"/>
  <c r="L58" i="9" s="1"/>
  <c r="P57" i="9"/>
  <c r="O57" i="9"/>
  <c r="N57" i="9"/>
  <c r="P106" i="9"/>
  <c r="O106" i="9"/>
  <c r="N106" i="9"/>
  <c r="G107" i="9"/>
  <c r="L107" i="9" s="1"/>
  <c r="D5" i="10"/>
  <c r="O5" i="9"/>
  <c r="N5" i="9"/>
  <c r="G6" i="9"/>
  <c r="G16" i="9"/>
  <c r="L16" i="9" s="1"/>
  <c r="P15" i="9"/>
  <c r="O15" i="9"/>
  <c r="N15" i="9"/>
  <c r="O25" i="9"/>
  <c r="N25" i="9"/>
  <c r="G26" i="9"/>
  <c r="L26" i="9" s="1"/>
  <c r="G66" i="9"/>
  <c r="L66" i="9" s="1"/>
  <c r="P65" i="9"/>
  <c r="O65" i="9"/>
  <c r="N65" i="9"/>
  <c r="N135" i="9"/>
  <c r="G136" i="9"/>
  <c r="L136" i="9" s="1"/>
  <c r="P135" i="9"/>
  <c r="O135" i="9"/>
  <c r="G96" i="9"/>
  <c r="L96" i="9" s="1"/>
  <c r="P95" i="9"/>
  <c r="N95" i="9"/>
  <c r="O95" i="9"/>
  <c r="G36" i="9"/>
  <c r="L36" i="9" s="1"/>
  <c r="P35" i="9"/>
  <c r="O35" i="9"/>
  <c r="N35" i="9"/>
  <c r="P55" i="9"/>
  <c r="N55" i="9"/>
  <c r="O55" i="9"/>
  <c r="G127" i="9"/>
  <c r="L127" i="9" s="1"/>
  <c r="P126" i="9"/>
  <c r="O126" i="9"/>
  <c r="N126" i="9"/>
  <c r="N56" i="9"/>
  <c r="P56" i="9"/>
  <c r="O56" i="9"/>
  <c r="P5" i="9"/>
  <c r="N105" i="9"/>
  <c r="P105" i="9"/>
  <c r="O105" i="9"/>
  <c r="G116" i="9"/>
  <c r="L116" i="9" s="1"/>
  <c r="N115" i="9"/>
  <c r="G146" i="9"/>
  <c r="L146" i="9" s="1"/>
  <c r="P145" i="9"/>
  <c r="N145" i="9"/>
  <c r="G166" i="9"/>
  <c r="L166" i="9" s="1"/>
  <c r="P165" i="9"/>
  <c r="N165" i="9"/>
  <c r="O165" i="9"/>
  <c r="C7" i="13"/>
  <c r="E7" i="13" s="1"/>
  <c r="G6" i="10"/>
  <c r="G7" i="10"/>
  <c r="G5" i="10"/>
  <c r="C9" i="13"/>
  <c r="E9" i="13" s="1"/>
  <c r="G76" i="9"/>
  <c r="L76" i="9" s="1"/>
  <c r="P75" i="9"/>
  <c r="N75" i="9"/>
  <c r="L85" i="9"/>
  <c r="N125" i="9"/>
  <c r="P125" i="9"/>
  <c r="O145" i="9"/>
  <c r="O115" i="9"/>
  <c r="C11" i="13"/>
  <c r="E11" i="13" s="1"/>
  <c r="C12" i="13"/>
  <c r="E12" i="13" s="1"/>
  <c r="C10" i="13"/>
  <c r="E10" i="13" s="1"/>
  <c r="N175" i="9"/>
  <c r="G176" i="9"/>
  <c r="L176" i="9" s="1"/>
  <c r="P175" i="9"/>
  <c r="P166" i="9" l="1"/>
  <c r="O166" i="9"/>
  <c r="N166" i="9"/>
  <c r="G167" i="9"/>
  <c r="L167" i="9" s="1"/>
  <c r="G128" i="9"/>
  <c r="L128" i="9" s="1"/>
  <c r="P127" i="9"/>
  <c r="N127" i="9"/>
  <c r="O127" i="9"/>
  <c r="P16" i="9"/>
  <c r="O16" i="9"/>
  <c r="N16" i="9"/>
  <c r="G17" i="9"/>
  <c r="L17" i="9" s="1"/>
  <c r="P46" i="9"/>
  <c r="O46" i="9"/>
  <c r="N46" i="9"/>
  <c r="G47" i="9"/>
  <c r="L47" i="9" s="1"/>
  <c r="P76" i="9"/>
  <c r="N76" i="9"/>
  <c r="O76" i="9"/>
  <c r="G77" i="9"/>
  <c r="L77" i="9" s="1"/>
  <c r="P36" i="9"/>
  <c r="O36" i="9"/>
  <c r="N36" i="9"/>
  <c r="G37" i="9"/>
  <c r="L37" i="9" s="1"/>
  <c r="G108" i="9"/>
  <c r="L108" i="9" s="1"/>
  <c r="N107" i="9"/>
  <c r="P107" i="9"/>
  <c r="O107" i="9"/>
  <c r="G177" i="9"/>
  <c r="L177" i="9" s="1"/>
  <c r="P176" i="9"/>
  <c r="O176" i="9"/>
  <c r="N176" i="9"/>
  <c r="P146" i="9"/>
  <c r="N146" i="9"/>
  <c r="O146" i="9"/>
  <c r="G147" i="9"/>
  <c r="L147" i="9" s="1"/>
  <c r="P96" i="9"/>
  <c r="O96" i="9"/>
  <c r="N96" i="9"/>
  <c r="G97" i="9"/>
  <c r="L97" i="9" s="1"/>
  <c r="G67" i="9"/>
  <c r="L67" i="9" s="1"/>
  <c r="P66" i="9"/>
  <c r="O66" i="9"/>
  <c r="N66" i="9"/>
  <c r="L6" i="9"/>
  <c r="P136" i="9"/>
  <c r="G137" i="9"/>
  <c r="L137" i="9" s="1"/>
  <c r="O136" i="9"/>
  <c r="N136" i="9"/>
  <c r="N85" i="9"/>
  <c r="G86" i="9"/>
  <c r="L86" i="9" s="1"/>
  <c r="P85" i="9"/>
  <c r="O85" i="9"/>
  <c r="G27" i="9"/>
  <c r="L27" i="9" s="1"/>
  <c r="O26" i="9"/>
  <c r="P26" i="9"/>
  <c r="N26" i="9"/>
  <c r="P116" i="9"/>
  <c r="G117" i="9"/>
  <c r="L117" i="9" s="1"/>
  <c r="O116" i="9"/>
  <c r="N116" i="9"/>
  <c r="G157" i="9"/>
  <c r="L157" i="9" s="1"/>
  <c r="P156" i="9"/>
  <c r="O156" i="9"/>
  <c r="N156" i="9"/>
  <c r="H5" i="10"/>
  <c r="G59" i="9"/>
  <c r="L59" i="9" s="1"/>
  <c r="P58" i="9"/>
  <c r="O58" i="9"/>
  <c r="N58" i="9"/>
  <c r="N147" i="9" l="1"/>
  <c r="G148" i="9"/>
  <c r="L148" i="9" s="1"/>
  <c r="P147" i="9"/>
  <c r="O147" i="9"/>
  <c r="N77" i="9"/>
  <c r="G78" i="9"/>
  <c r="L78" i="9" s="1"/>
  <c r="P77" i="9"/>
  <c r="O77" i="9"/>
  <c r="O17" i="9"/>
  <c r="N17" i="9"/>
  <c r="G18" i="9"/>
  <c r="L18" i="9" s="1"/>
  <c r="P17" i="9"/>
  <c r="G178" i="9"/>
  <c r="L178" i="9" s="1"/>
  <c r="P177" i="9"/>
  <c r="N177" i="9"/>
  <c r="O177" i="9"/>
  <c r="G158" i="9"/>
  <c r="L158" i="9" s="1"/>
  <c r="P157" i="9"/>
  <c r="N157" i="9"/>
  <c r="O157" i="9"/>
  <c r="P128" i="9"/>
  <c r="G129" i="9"/>
  <c r="L129" i="9" s="1"/>
  <c r="O128" i="9"/>
  <c r="N128" i="9"/>
  <c r="G87" i="9"/>
  <c r="L87" i="9" s="1"/>
  <c r="P86" i="9"/>
  <c r="O86" i="9"/>
  <c r="N86" i="9"/>
  <c r="G7" i="9"/>
  <c r="P6" i="9"/>
  <c r="O6" i="9"/>
  <c r="N6" i="9"/>
  <c r="P59" i="9"/>
  <c r="N59" i="9"/>
  <c r="O59" i="9"/>
  <c r="G60" i="9"/>
  <c r="L60" i="9" s="1"/>
  <c r="G138" i="9"/>
  <c r="L138" i="9" s="1"/>
  <c r="N137" i="9"/>
  <c r="P137" i="9"/>
  <c r="O137" i="9"/>
  <c r="N167" i="9"/>
  <c r="G168" i="9"/>
  <c r="L168" i="9" s="1"/>
  <c r="P167" i="9"/>
  <c r="O167" i="9"/>
  <c r="P67" i="9"/>
  <c r="N67" i="9"/>
  <c r="G68" i="9"/>
  <c r="L68" i="9" s="1"/>
  <c r="O67" i="9"/>
  <c r="P108" i="9"/>
  <c r="G109" i="9"/>
  <c r="L109" i="9" s="1"/>
  <c r="O108" i="9"/>
  <c r="N108" i="9"/>
  <c r="N117" i="9"/>
  <c r="P117" i="9"/>
  <c r="G118" i="9"/>
  <c r="L118" i="9" s="1"/>
  <c r="O117" i="9"/>
  <c r="N97" i="9"/>
  <c r="G98" i="9"/>
  <c r="L98" i="9" s="1"/>
  <c r="P97" i="9"/>
  <c r="O97" i="9"/>
  <c r="O37" i="9"/>
  <c r="N37" i="9"/>
  <c r="G38" i="9"/>
  <c r="L38" i="9" s="1"/>
  <c r="P37" i="9"/>
  <c r="N47" i="9"/>
  <c r="P47" i="9"/>
  <c r="O47" i="9"/>
  <c r="G48" i="9"/>
  <c r="L48" i="9" s="1"/>
  <c r="G28" i="9"/>
  <c r="L28" i="9" s="1"/>
  <c r="P27" i="9"/>
  <c r="O27" i="9"/>
  <c r="N27" i="9"/>
  <c r="D6" i="10" l="1"/>
  <c r="H6" i="10"/>
  <c r="P178" i="9"/>
  <c r="O178" i="9"/>
  <c r="N178" i="9"/>
  <c r="G179" i="9"/>
  <c r="L179" i="9" s="1"/>
  <c r="N129" i="9"/>
  <c r="P129" i="9"/>
  <c r="O129" i="9"/>
  <c r="G130" i="9"/>
  <c r="L130" i="9" s="1"/>
  <c r="G79" i="9"/>
  <c r="L79" i="9" s="1"/>
  <c r="P78" i="9"/>
  <c r="O78" i="9"/>
  <c r="N78" i="9"/>
  <c r="G99" i="9"/>
  <c r="L99" i="9" s="1"/>
  <c r="P98" i="9"/>
  <c r="O98" i="9"/>
  <c r="N98" i="9"/>
  <c r="N109" i="9"/>
  <c r="P109" i="9"/>
  <c r="G110" i="9"/>
  <c r="L110" i="9" s="1"/>
  <c r="O109" i="9"/>
  <c r="G169" i="9"/>
  <c r="L169" i="9" s="1"/>
  <c r="P168" i="9"/>
  <c r="N168" i="9"/>
  <c r="O168" i="9"/>
  <c r="O18" i="9"/>
  <c r="G19" i="9"/>
  <c r="L19" i="9" s="1"/>
  <c r="P18" i="9"/>
  <c r="N18" i="9"/>
  <c r="P28" i="9"/>
  <c r="O28" i="9"/>
  <c r="N28" i="9"/>
  <c r="G29" i="9"/>
  <c r="L29" i="9" s="1"/>
  <c r="L7" i="9"/>
  <c r="N60" i="9"/>
  <c r="P60" i="9"/>
  <c r="O60" i="9"/>
  <c r="G61" i="9"/>
  <c r="L61" i="9" s="1"/>
  <c r="G149" i="9"/>
  <c r="L149" i="9" s="1"/>
  <c r="P148" i="9"/>
  <c r="O148" i="9"/>
  <c r="N148" i="9"/>
  <c r="P138" i="9"/>
  <c r="G139" i="9"/>
  <c r="L139" i="9" s="1"/>
  <c r="N138" i="9"/>
  <c r="O138" i="9"/>
  <c r="O48" i="9"/>
  <c r="N48" i="9"/>
  <c r="G49" i="9"/>
  <c r="L49" i="9" s="1"/>
  <c r="P48" i="9"/>
  <c r="G88" i="9"/>
  <c r="L88" i="9" s="1"/>
  <c r="P87" i="9"/>
  <c r="N87" i="9"/>
  <c r="O87" i="9"/>
  <c r="P158" i="9"/>
  <c r="O158" i="9"/>
  <c r="N158" i="9"/>
  <c r="G159" i="9"/>
  <c r="L159" i="9" s="1"/>
  <c r="G39" i="9"/>
  <c r="L39" i="9" s="1"/>
  <c r="P38" i="9"/>
  <c r="O38" i="9"/>
  <c r="N38" i="9"/>
  <c r="G119" i="9"/>
  <c r="L119" i="9" s="1"/>
  <c r="P118" i="9"/>
  <c r="O118" i="9"/>
  <c r="N118" i="9"/>
  <c r="N68" i="9"/>
  <c r="G69" i="9"/>
  <c r="L69" i="9" s="1"/>
  <c r="P68" i="9"/>
  <c r="O68" i="9"/>
  <c r="N159" i="9" l="1"/>
  <c r="G160" i="9"/>
  <c r="L160" i="9" s="1"/>
  <c r="P159" i="9"/>
  <c r="O159" i="9"/>
  <c r="G170" i="9"/>
  <c r="L170" i="9" s="1"/>
  <c r="P169" i="9"/>
  <c r="N169" i="9"/>
  <c r="O169" i="9"/>
  <c r="N139" i="9"/>
  <c r="G140" i="9"/>
  <c r="L140" i="9" s="1"/>
  <c r="P139" i="9"/>
  <c r="O139" i="9"/>
  <c r="G111" i="9"/>
  <c r="L111" i="9" s="1"/>
  <c r="P110" i="9"/>
  <c r="O110" i="9"/>
  <c r="N110" i="9"/>
  <c r="G20" i="9"/>
  <c r="L20" i="9" s="1"/>
  <c r="P19" i="9"/>
  <c r="O19" i="9"/>
  <c r="N19" i="9"/>
  <c r="N179" i="9"/>
  <c r="G180" i="9"/>
  <c r="L180" i="9" s="1"/>
  <c r="P179" i="9"/>
  <c r="O179" i="9"/>
  <c r="G120" i="9"/>
  <c r="L120" i="9" s="1"/>
  <c r="P119" i="9"/>
  <c r="N119" i="9"/>
  <c r="O119" i="9"/>
  <c r="G50" i="9"/>
  <c r="L50" i="9" s="1"/>
  <c r="O49" i="9"/>
  <c r="P49" i="9"/>
  <c r="N49" i="9"/>
  <c r="G8" i="9"/>
  <c r="P7" i="9"/>
  <c r="O7" i="9"/>
  <c r="N7" i="9"/>
  <c r="G80" i="9"/>
  <c r="L80" i="9" s="1"/>
  <c r="P79" i="9"/>
  <c r="N79" i="9"/>
  <c r="O79" i="9"/>
  <c r="G100" i="9"/>
  <c r="L100" i="9" s="1"/>
  <c r="P99" i="9"/>
  <c r="N99" i="9"/>
  <c r="O99" i="9"/>
  <c r="G70" i="9"/>
  <c r="L70" i="9" s="1"/>
  <c r="P69" i="9"/>
  <c r="O69" i="9"/>
  <c r="N69" i="9"/>
  <c r="O29" i="9"/>
  <c r="N29" i="9"/>
  <c r="G30" i="9"/>
  <c r="L30" i="9" s="1"/>
  <c r="P29" i="9"/>
  <c r="P130" i="9"/>
  <c r="O130" i="9"/>
  <c r="N130" i="9"/>
  <c r="G131" i="9"/>
  <c r="L131" i="9" s="1"/>
  <c r="G40" i="9"/>
  <c r="L40" i="9" s="1"/>
  <c r="P39" i="9"/>
  <c r="O39" i="9"/>
  <c r="N39" i="9"/>
  <c r="P88" i="9"/>
  <c r="O88" i="9"/>
  <c r="N88" i="9"/>
  <c r="G89" i="9"/>
  <c r="L89" i="9" s="1"/>
  <c r="G150" i="9"/>
  <c r="L150" i="9" s="1"/>
  <c r="P149" i="9"/>
  <c r="N149" i="9"/>
  <c r="O149" i="9"/>
  <c r="G62" i="9"/>
  <c r="L62" i="9" s="1"/>
  <c r="P61" i="9"/>
  <c r="O61" i="9"/>
  <c r="N61" i="9"/>
  <c r="P40" i="9" l="1"/>
  <c r="O40" i="9"/>
  <c r="N40" i="9"/>
  <c r="G41" i="9"/>
  <c r="L41" i="9" s="1"/>
  <c r="L8" i="9"/>
  <c r="P140" i="9"/>
  <c r="G141" i="9"/>
  <c r="L141" i="9" s="1"/>
  <c r="O140" i="9"/>
  <c r="N140" i="9"/>
  <c r="N89" i="9"/>
  <c r="G90" i="9"/>
  <c r="L90" i="9" s="1"/>
  <c r="P89" i="9"/>
  <c r="O89" i="9"/>
  <c r="G63" i="9"/>
  <c r="L63" i="9" s="1"/>
  <c r="P62" i="9"/>
  <c r="O62" i="9"/>
  <c r="N62" i="9"/>
  <c r="G71" i="9"/>
  <c r="L71" i="9" s="1"/>
  <c r="P70" i="9"/>
  <c r="O70" i="9"/>
  <c r="N70" i="9"/>
  <c r="P80" i="9"/>
  <c r="N80" i="9"/>
  <c r="O80" i="9"/>
  <c r="G81" i="9"/>
  <c r="L81" i="9" s="1"/>
  <c r="G181" i="9"/>
  <c r="L181" i="9" s="1"/>
  <c r="P180" i="9"/>
  <c r="O180" i="9"/>
  <c r="N180" i="9"/>
  <c r="P170" i="9"/>
  <c r="O170" i="9"/>
  <c r="N170" i="9"/>
  <c r="G171" i="9"/>
  <c r="L171" i="9" s="1"/>
  <c r="P150" i="9"/>
  <c r="N150" i="9"/>
  <c r="G151" i="9"/>
  <c r="L151" i="9" s="1"/>
  <c r="O150" i="9"/>
  <c r="P50" i="9"/>
  <c r="G51" i="9"/>
  <c r="L51" i="9" s="1"/>
  <c r="N50" i="9"/>
  <c r="O50" i="9"/>
  <c r="G112" i="9"/>
  <c r="L112" i="9" s="1"/>
  <c r="P111" i="9"/>
  <c r="N111" i="9"/>
  <c r="O111" i="9"/>
  <c r="O30" i="9"/>
  <c r="G31" i="9"/>
  <c r="L31" i="9" s="1"/>
  <c r="P30" i="9"/>
  <c r="N30" i="9"/>
  <c r="P100" i="9"/>
  <c r="O100" i="9"/>
  <c r="N100" i="9"/>
  <c r="G101" i="9"/>
  <c r="L101" i="9" s="1"/>
  <c r="G161" i="9"/>
  <c r="L161" i="9" s="1"/>
  <c r="P160" i="9"/>
  <c r="N160" i="9"/>
  <c r="O160" i="9"/>
  <c r="G132" i="9"/>
  <c r="L132" i="9" s="1"/>
  <c r="N131" i="9"/>
  <c r="P131" i="9"/>
  <c r="O131" i="9"/>
  <c r="H7" i="10"/>
  <c r="D7" i="10"/>
  <c r="P120" i="9"/>
  <c r="G121" i="9"/>
  <c r="L121" i="9" s="1"/>
  <c r="O120" i="9"/>
  <c r="N120" i="9"/>
  <c r="P20" i="9"/>
  <c r="O20" i="9"/>
  <c r="N20" i="9"/>
  <c r="G21" i="9"/>
  <c r="L21" i="9" s="1"/>
  <c r="G32" i="9" l="1"/>
  <c r="L32" i="9" s="1"/>
  <c r="P31" i="9"/>
  <c r="O31" i="9"/>
  <c r="N31" i="9"/>
  <c r="P63" i="9"/>
  <c r="N63" i="9"/>
  <c r="O63" i="9"/>
  <c r="G64" i="9"/>
  <c r="L64" i="9" s="1"/>
  <c r="N151" i="9"/>
  <c r="G152" i="9"/>
  <c r="L152" i="9" s="1"/>
  <c r="P151" i="9"/>
  <c r="O151" i="9"/>
  <c r="P8" i="9"/>
  <c r="O8" i="9"/>
  <c r="N8" i="9"/>
  <c r="G9" i="9"/>
  <c r="N51" i="9"/>
  <c r="G52" i="9"/>
  <c r="L52" i="9" s="1"/>
  <c r="P51" i="9"/>
  <c r="O51" i="9"/>
  <c r="N121" i="9"/>
  <c r="P121" i="9"/>
  <c r="O121" i="9"/>
  <c r="G122" i="9"/>
  <c r="L122" i="9" s="1"/>
  <c r="P132" i="9"/>
  <c r="G133" i="9"/>
  <c r="L133" i="9" s="1"/>
  <c r="N132" i="9"/>
  <c r="O132" i="9"/>
  <c r="O21" i="9"/>
  <c r="N21" i="9"/>
  <c r="G22" i="9"/>
  <c r="L22" i="9" s="1"/>
  <c r="P21" i="9"/>
  <c r="G91" i="9"/>
  <c r="L91" i="9" s="1"/>
  <c r="P90" i="9"/>
  <c r="O90" i="9"/>
  <c r="N90" i="9"/>
  <c r="O41" i="9"/>
  <c r="N41" i="9"/>
  <c r="G42" i="9"/>
  <c r="L42" i="9" s="1"/>
  <c r="P41" i="9"/>
  <c r="G142" i="9"/>
  <c r="L142" i="9" s="1"/>
  <c r="N141" i="9"/>
  <c r="P141" i="9"/>
  <c r="O141" i="9"/>
  <c r="P112" i="9"/>
  <c r="G113" i="9"/>
  <c r="L113" i="9" s="1"/>
  <c r="O112" i="9"/>
  <c r="N112" i="9"/>
  <c r="G182" i="9"/>
  <c r="L182" i="9" s="1"/>
  <c r="P181" i="9"/>
  <c r="N181" i="9"/>
  <c r="O181" i="9"/>
  <c r="G72" i="9"/>
  <c r="L72" i="9" s="1"/>
  <c r="P71" i="9"/>
  <c r="N71" i="9"/>
  <c r="O71" i="9"/>
  <c r="G162" i="9"/>
  <c r="L162" i="9" s="1"/>
  <c r="P161" i="9"/>
  <c r="N161" i="9"/>
  <c r="O161" i="9"/>
  <c r="N101" i="9"/>
  <c r="G102" i="9"/>
  <c r="L102" i="9" s="1"/>
  <c r="P101" i="9"/>
  <c r="O101" i="9"/>
  <c r="N171" i="9"/>
  <c r="G172" i="9"/>
  <c r="L172" i="9" s="1"/>
  <c r="P171" i="9"/>
  <c r="O171" i="9"/>
  <c r="N81" i="9"/>
  <c r="G82" i="9"/>
  <c r="L82" i="9" s="1"/>
  <c r="P81" i="9"/>
  <c r="O81" i="9"/>
  <c r="G103" i="9" l="1"/>
  <c r="L103" i="9" s="1"/>
  <c r="P102" i="9"/>
  <c r="O102" i="9"/>
  <c r="N102" i="9"/>
  <c r="G173" i="9"/>
  <c r="L173" i="9" s="1"/>
  <c r="P172" i="9"/>
  <c r="O172" i="9"/>
  <c r="N172" i="9"/>
  <c r="G134" i="9"/>
  <c r="L134" i="9" s="1"/>
  <c r="N133" i="9"/>
  <c r="P133" i="9"/>
  <c r="O133" i="9"/>
  <c r="G53" i="9"/>
  <c r="L53" i="9" s="1"/>
  <c r="P52" i="9"/>
  <c r="O52" i="9"/>
  <c r="N52" i="9"/>
  <c r="G153" i="9"/>
  <c r="L153" i="9" s="1"/>
  <c r="P152" i="9"/>
  <c r="O152" i="9"/>
  <c r="N152" i="9"/>
  <c r="P182" i="9"/>
  <c r="O182" i="9"/>
  <c r="N182" i="9"/>
  <c r="G183" i="9"/>
  <c r="L183" i="9" s="1"/>
  <c r="G92" i="9"/>
  <c r="L92" i="9" s="1"/>
  <c r="P91" i="9"/>
  <c r="N91" i="9"/>
  <c r="O91" i="9"/>
  <c r="G83" i="9"/>
  <c r="L83" i="9" s="1"/>
  <c r="P82" i="9"/>
  <c r="O82" i="9"/>
  <c r="N82" i="9"/>
  <c r="P72" i="9"/>
  <c r="N72" i="9"/>
  <c r="G73" i="9"/>
  <c r="L73" i="9" s="1"/>
  <c r="O72" i="9"/>
  <c r="P162" i="9"/>
  <c r="O162" i="9"/>
  <c r="N162" i="9"/>
  <c r="G163" i="9"/>
  <c r="L163" i="9" s="1"/>
  <c r="P142" i="9"/>
  <c r="G143" i="9"/>
  <c r="L143" i="9" s="1"/>
  <c r="N142" i="9"/>
  <c r="O142" i="9"/>
  <c r="P122" i="9"/>
  <c r="O122" i="9"/>
  <c r="N122" i="9"/>
  <c r="G123" i="9"/>
  <c r="L123" i="9" s="1"/>
  <c r="L9" i="9"/>
  <c r="N64" i="9"/>
  <c r="P64" i="9"/>
  <c r="O64" i="9"/>
  <c r="N113" i="9"/>
  <c r="P113" i="9"/>
  <c r="O113" i="9"/>
  <c r="G114" i="9"/>
  <c r="L114" i="9" s="1"/>
  <c r="O42" i="9"/>
  <c r="G43" i="9"/>
  <c r="L43" i="9" s="1"/>
  <c r="P42" i="9"/>
  <c r="N42" i="9"/>
  <c r="G23" i="9"/>
  <c r="L23" i="9" s="1"/>
  <c r="P22" i="9"/>
  <c r="O22" i="9"/>
  <c r="N22" i="9"/>
  <c r="P32" i="9"/>
  <c r="O32" i="9"/>
  <c r="N32" i="9"/>
  <c r="G33" i="9"/>
  <c r="L33" i="9" s="1"/>
  <c r="G54" i="9" l="1"/>
  <c r="L54" i="9" s="1"/>
  <c r="P53" i="9"/>
  <c r="O53" i="9"/>
  <c r="N53" i="9"/>
  <c r="P114" i="9"/>
  <c r="O114" i="9"/>
  <c r="N114" i="9"/>
  <c r="N73" i="9"/>
  <c r="G74" i="9"/>
  <c r="L74" i="9" s="1"/>
  <c r="O73" i="9"/>
  <c r="P73" i="9"/>
  <c r="G174" i="9"/>
  <c r="L174" i="9" s="1"/>
  <c r="P173" i="9"/>
  <c r="N173" i="9"/>
  <c r="O173" i="9"/>
  <c r="G84" i="9"/>
  <c r="L84" i="9" s="1"/>
  <c r="P83" i="9"/>
  <c r="N83" i="9"/>
  <c r="O83" i="9"/>
  <c r="O9" i="9"/>
  <c r="N9" i="9"/>
  <c r="G10" i="9"/>
  <c r="P9" i="9"/>
  <c r="G124" i="9"/>
  <c r="L124" i="9" s="1"/>
  <c r="N123" i="9"/>
  <c r="P123" i="9"/>
  <c r="O123" i="9"/>
  <c r="N143" i="9"/>
  <c r="G144" i="9"/>
  <c r="L144" i="9" s="1"/>
  <c r="P143" i="9"/>
  <c r="O143" i="9"/>
  <c r="G24" i="9"/>
  <c r="L24" i="9" s="1"/>
  <c r="P23" i="9"/>
  <c r="O23" i="9"/>
  <c r="N23" i="9"/>
  <c r="N163" i="9"/>
  <c r="G164" i="9"/>
  <c r="L164" i="9" s="1"/>
  <c r="P163" i="9"/>
  <c r="O163" i="9"/>
  <c r="N183" i="9"/>
  <c r="G184" i="9"/>
  <c r="L184" i="9" s="1"/>
  <c r="P183" i="9"/>
  <c r="O183" i="9"/>
  <c r="O33" i="9"/>
  <c r="N33" i="9"/>
  <c r="G34" i="9"/>
  <c r="L34" i="9" s="1"/>
  <c r="P33" i="9"/>
  <c r="N43" i="9"/>
  <c r="G44" i="9"/>
  <c r="L44" i="9" s="1"/>
  <c r="P43" i="9"/>
  <c r="O43" i="9"/>
  <c r="P92" i="9"/>
  <c r="O92" i="9"/>
  <c r="N92" i="9"/>
  <c r="G93" i="9"/>
  <c r="L93" i="9" s="1"/>
  <c r="G154" i="9"/>
  <c r="L154" i="9" s="1"/>
  <c r="P153" i="9"/>
  <c r="N153" i="9"/>
  <c r="O153" i="9"/>
  <c r="P134" i="9"/>
  <c r="O134" i="9"/>
  <c r="N134" i="9"/>
  <c r="G104" i="9"/>
  <c r="L104" i="9" s="1"/>
  <c r="P103" i="9"/>
  <c r="N103" i="9"/>
  <c r="O103" i="9"/>
  <c r="O34" i="9" l="1"/>
  <c r="P34" i="9"/>
  <c r="N34" i="9"/>
  <c r="E7" i="10"/>
  <c r="F7" i="10"/>
  <c r="L10" i="9"/>
  <c r="P154" i="9"/>
  <c r="N154" i="9"/>
  <c r="O154" i="9"/>
  <c r="P24" i="9"/>
  <c r="O24" i="9"/>
  <c r="N24" i="9"/>
  <c r="N93" i="9"/>
  <c r="G94" i="9"/>
  <c r="L94" i="9" s="1"/>
  <c r="O93" i="9"/>
  <c r="P93" i="9"/>
  <c r="P164" i="9"/>
  <c r="O164" i="9"/>
  <c r="N164" i="9"/>
  <c r="P174" i="9"/>
  <c r="O174" i="9"/>
  <c r="N174" i="9"/>
  <c r="P104" i="9"/>
  <c r="O104" i="9"/>
  <c r="N104" i="9"/>
  <c r="P84" i="9"/>
  <c r="N84" i="9"/>
  <c r="O84" i="9"/>
  <c r="P144" i="9"/>
  <c r="O144" i="9"/>
  <c r="N144" i="9"/>
  <c r="P124" i="9"/>
  <c r="O124" i="9"/>
  <c r="N124" i="9"/>
  <c r="E5" i="10"/>
  <c r="F5" i="10"/>
  <c r="P44" i="9"/>
  <c r="O44" i="9"/>
  <c r="N44" i="9"/>
  <c r="P184" i="9"/>
  <c r="O184" i="9"/>
  <c r="N184" i="9"/>
  <c r="P74" i="9"/>
  <c r="O74" i="9"/>
  <c r="N74" i="9"/>
  <c r="P54" i="9"/>
  <c r="O54" i="9"/>
  <c r="N54" i="9"/>
  <c r="G11" i="9" l="1"/>
  <c r="L11" i="9" s="1"/>
  <c r="P10" i="9"/>
  <c r="O10" i="9"/>
  <c r="N10" i="9"/>
  <c r="P94" i="9"/>
  <c r="O94" i="9"/>
  <c r="N94" i="9"/>
  <c r="F6" i="10"/>
  <c r="E6" i="10"/>
  <c r="G12" i="9" l="1"/>
  <c r="L12" i="9" s="1"/>
  <c r="P11" i="9"/>
  <c r="O11" i="9"/>
  <c r="N11" i="9"/>
  <c r="P12" i="9" l="1"/>
  <c r="O12" i="9"/>
  <c r="N12" i="9"/>
  <c r="G13" i="9"/>
  <c r="L13" i="9" s="1"/>
  <c r="O13" i="9" l="1"/>
  <c r="N13" i="9"/>
  <c r="G14" i="9"/>
  <c r="P13" i="9"/>
  <c r="L14" i="9" l="1"/>
  <c r="C8" i="13"/>
  <c r="E8" i="13" s="1"/>
  <c r="O14" i="9" l="1"/>
  <c r="P14" i="9"/>
  <c r="N14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</authors>
  <commentList>
    <comment ref="A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5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6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6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8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8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8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8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8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9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9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9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9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9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9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9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9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0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0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0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0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0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0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0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0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</authors>
  <commentList>
    <comment ref="A5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9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9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9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0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0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0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1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1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1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2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2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2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3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3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3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</authors>
  <commentList>
    <comment ref="A5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5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5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I5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J5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K5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6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6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I6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J6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K6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I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J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K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8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8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8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8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8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I8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J8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K8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9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9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9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9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9" authorId="0" shapeId="0" xr:uid="{00000000-0006-0000-0300-00003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9" authorId="0" shapeId="0" xr:uid="{00000000-0006-0000-0300-00003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9" authorId="0" shapeId="0" xr:uid="{00000000-0006-0000-0300-00003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9" authorId="0" shapeId="0" xr:uid="{00000000-0006-0000-0300-00003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I9" authorId="0" shapeId="0" xr:uid="{00000000-0006-0000-0300-00003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J9" authorId="0" shapeId="0" xr:uid="{00000000-0006-0000-0300-00003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K9" authorId="0" shapeId="0" xr:uid="{00000000-0006-0000-0300-00003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0" authorId="0" shapeId="0" xr:uid="{00000000-0006-0000-0300-00003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0" authorId="0" shapeId="0" xr:uid="{00000000-0006-0000-0300-00003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0" authorId="0" shapeId="0" xr:uid="{00000000-0006-0000-0300-00003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0" authorId="0" shapeId="0" xr:uid="{00000000-0006-0000-0300-00003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0" authorId="0" shapeId="0" xr:uid="{00000000-0006-0000-0300-00003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0" authorId="0" shapeId="0" xr:uid="{00000000-0006-0000-0300-00003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0" authorId="0" shapeId="0" xr:uid="{00000000-0006-0000-0300-00003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0" authorId="0" shapeId="0" xr:uid="{00000000-0006-0000-0300-00003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I10" authorId="0" shapeId="0" xr:uid="{00000000-0006-0000-0300-00004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J10" authorId="0" shapeId="0" xr:uid="{00000000-0006-0000-0300-00004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K10" authorId="0" shapeId="0" xr:uid="{00000000-0006-0000-0300-00004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1" authorId="0" shapeId="0" xr:uid="{00000000-0006-0000-0300-00004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1" authorId="0" shapeId="0" xr:uid="{00000000-0006-0000-0300-00004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1" authorId="0" shapeId="0" xr:uid="{00000000-0006-0000-0300-00004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1" authorId="0" shapeId="0" xr:uid="{00000000-0006-0000-0300-00004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1" authorId="0" shapeId="0" xr:uid="{00000000-0006-0000-0300-00004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1" authorId="0" shapeId="0" xr:uid="{00000000-0006-0000-0300-00004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1" authorId="0" shapeId="0" xr:uid="{00000000-0006-0000-0300-00004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1" authorId="0" shapeId="0" xr:uid="{00000000-0006-0000-0300-00004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I11" authorId="0" shapeId="0" xr:uid="{00000000-0006-0000-0300-00004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J11" authorId="0" shapeId="0" xr:uid="{00000000-0006-0000-0300-00004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K11" authorId="0" shapeId="0" xr:uid="{00000000-0006-0000-0300-00004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2" authorId="0" shapeId="0" xr:uid="{00000000-0006-0000-0300-00004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2" authorId="0" shapeId="0" xr:uid="{00000000-0006-0000-0300-00004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2" authorId="0" shapeId="0" xr:uid="{00000000-0006-0000-0300-00005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2" authorId="0" shapeId="0" xr:uid="{00000000-0006-0000-0300-00005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2" authorId="0" shapeId="0" xr:uid="{00000000-0006-0000-0300-00005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2" authorId="0" shapeId="0" xr:uid="{00000000-0006-0000-0300-00005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2" authorId="0" shapeId="0" xr:uid="{00000000-0006-0000-0300-00005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2" authorId="0" shapeId="0" xr:uid="{00000000-0006-0000-0300-00005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I12" authorId="0" shapeId="0" xr:uid="{00000000-0006-0000-0300-00005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J12" authorId="0" shapeId="0" xr:uid="{00000000-0006-0000-0300-00005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K12" authorId="0" shapeId="0" xr:uid="{00000000-0006-0000-0300-00005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3" authorId="0" shapeId="0" xr:uid="{00000000-0006-0000-0300-00005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3" authorId="0" shapeId="0" xr:uid="{00000000-0006-0000-0300-00005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3" authorId="0" shapeId="0" xr:uid="{00000000-0006-0000-0300-00005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3" authorId="0" shapeId="0" xr:uid="{00000000-0006-0000-0300-00005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3" authorId="0" shapeId="0" xr:uid="{00000000-0006-0000-0300-00005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3" authorId="0" shapeId="0" xr:uid="{00000000-0006-0000-0300-00005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3" authorId="0" shapeId="0" xr:uid="{00000000-0006-0000-0300-00005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3" authorId="0" shapeId="0" xr:uid="{00000000-0006-0000-0300-00006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I13" authorId="0" shapeId="0" xr:uid="{00000000-0006-0000-0300-00006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J13" authorId="0" shapeId="0" xr:uid="{00000000-0006-0000-0300-00006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K13" authorId="0" shapeId="0" xr:uid="{00000000-0006-0000-0300-00006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4" authorId="0" shapeId="0" xr:uid="{00000000-0006-0000-0300-00006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4" authorId="0" shapeId="0" xr:uid="{00000000-0006-0000-0300-00006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4" authorId="0" shapeId="0" xr:uid="{00000000-0006-0000-0300-00006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4" authorId="0" shapeId="0" xr:uid="{00000000-0006-0000-0300-00006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4" authorId="0" shapeId="0" xr:uid="{00000000-0006-0000-0300-00006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4" authorId="0" shapeId="0" xr:uid="{00000000-0006-0000-0300-00006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4" authorId="0" shapeId="0" xr:uid="{00000000-0006-0000-0300-00006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4" authorId="0" shapeId="0" xr:uid="{00000000-0006-0000-0300-00006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I14" authorId="0" shapeId="0" xr:uid="{00000000-0006-0000-0300-00006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J14" authorId="0" shapeId="0" xr:uid="{00000000-0006-0000-0300-00006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K14" authorId="0" shapeId="0" xr:uid="{00000000-0006-0000-0300-00006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</authors>
  <commentList>
    <comment ref="A5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</authors>
  <commentList>
    <comment ref="A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5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I5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J5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K5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6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I6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J6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K6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7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I7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J7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K7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8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8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8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8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I8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J8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K8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</authors>
  <commentList>
    <comment ref="A5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5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6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7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</authors>
  <commentList>
    <comment ref="A5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5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5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6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6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7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7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" authorId="0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8" authorId="0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8" authorId="0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8" authorId="0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8" authorId="0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8" authorId="0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9" authorId="0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9" authorId="0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9" authorId="0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9" authorId="0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9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9" authorId="0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9" authorId="0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9" authorId="0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0" authorId="0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0" authorId="0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0" authorId="0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0" authorId="0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0" authorId="0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0" authorId="0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0" authorId="0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0" authorId="0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1" authorId="0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1" authorId="0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1" authorId="0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1" authorId="0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1" authorId="0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1" authorId="0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1" authorId="0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1" authorId="0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2" authorId="0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2" authorId="0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2" authorId="0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2" authorId="0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2" authorId="0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2" authorId="0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2" authorId="0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2" authorId="0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3" authorId="0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3" authorId="0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3" authorId="0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3" authorId="0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3" authorId="0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3" authorId="0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3" authorId="0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3" authorId="0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4" authorId="0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4" authorId="0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4" authorId="0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4" authorId="0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4" authorId="0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4" authorId="0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4" authorId="0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4" authorId="0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5" authorId="0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5" authorId="0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5" authorId="0" shapeId="0" xr:uid="{00000000-0006-0000-0700-00005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5" authorId="0" shapeId="0" xr:uid="{00000000-0006-0000-0700-00005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5" authorId="0" shapeId="0" xr:uid="{00000000-0006-0000-0700-00005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5" authorId="0" shapeId="0" xr:uid="{00000000-0006-0000-0700-00005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5" authorId="0" shapeId="0" xr:uid="{00000000-0006-0000-0700-00005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5" authorId="0" shapeId="0" xr:uid="{00000000-0006-0000-0700-00005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6" authorId="0" shapeId="0" xr:uid="{00000000-0006-0000-0700-00005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6" authorId="0" shapeId="0" xr:uid="{00000000-0006-0000-0700-00005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6" authorId="0" shapeId="0" xr:uid="{00000000-0006-0000-0700-00005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6" authorId="0" shapeId="0" xr:uid="{00000000-0006-0000-0700-00005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6" authorId="0" shapeId="0" xr:uid="{00000000-0006-0000-0700-00005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6" authorId="0" shapeId="0" xr:uid="{00000000-0006-0000-0700-00005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6" authorId="0" shapeId="0" xr:uid="{00000000-0006-0000-0700-00005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6" authorId="0" shapeId="0" xr:uid="{00000000-0006-0000-0700-00006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7" authorId="0" shapeId="0" xr:uid="{00000000-0006-0000-0700-00006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7" authorId="0" shapeId="0" xr:uid="{00000000-0006-0000-0700-00006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7" authorId="0" shapeId="0" xr:uid="{00000000-0006-0000-0700-00006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7" authorId="0" shapeId="0" xr:uid="{00000000-0006-0000-0700-00006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7" authorId="0" shapeId="0" xr:uid="{00000000-0006-0000-0700-00006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7" authorId="0" shapeId="0" xr:uid="{00000000-0006-0000-0700-00006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7" authorId="0" shapeId="0" xr:uid="{00000000-0006-0000-0700-00006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7" authorId="0" shapeId="0" xr:uid="{00000000-0006-0000-0700-00006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8" authorId="0" shapeId="0" xr:uid="{00000000-0006-0000-0700-00006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8" authorId="0" shapeId="0" xr:uid="{00000000-0006-0000-0700-00006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8" authorId="0" shapeId="0" xr:uid="{00000000-0006-0000-0700-00006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8" authorId="0" shapeId="0" xr:uid="{00000000-0006-0000-0700-00006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8" authorId="0" shapeId="0" xr:uid="{00000000-0006-0000-0700-00006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8" authorId="0" shapeId="0" xr:uid="{00000000-0006-0000-0700-00006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8" authorId="0" shapeId="0" xr:uid="{00000000-0006-0000-0700-00006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8" authorId="0" shapeId="0" xr:uid="{00000000-0006-0000-0700-00007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9" authorId="0" shapeId="0" xr:uid="{00000000-0006-0000-0700-00007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9" authorId="0" shapeId="0" xr:uid="{00000000-0006-0000-0700-00007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9" authorId="0" shapeId="0" xr:uid="{00000000-0006-0000-0700-00007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9" authorId="0" shapeId="0" xr:uid="{00000000-0006-0000-0700-00007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9" authorId="0" shapeId="0" xr:uid="{00000000-0006-0000-0700-00007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9" authorId="0" shapeId="0" xr:uid="{00000000-0006-0000-0700-00007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9" authorId="0" shapeId="0" xr:uid="{00000000-0006-0000-0700-00007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9" authorId="0" shapeId="0" xr:uid="{00000000-0006-0000-0700-00007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20" authorId="0" shapeId="0" xr:uid="{00000000-0006-0000-0700-00007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20" authorId="0" shapeId="0" xr:uid="{00000000-0006-0000-0700-00007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20" authorId="0" shapeId="0" xr:uid="{00000000-0006-0000-0700-00007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20" authorId="0" shapeId="0" xr:uid="{00000000-0006-0000-0700-00007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20" authorId="0" shapeId="0" xr:uid="{00000000-0006-0000-0700-00007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20" authorId="0" shapeId="0" xr:uid="{00000000-0006-0000-0700-00007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20" authorId="0" shapeId="0" xr:uid="{00000000-0006-0000-0700-00007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20" authorId="0" shapeId="0" xr:uid="{00000000-0006-0000-0700-00008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21" authorId="0" shapeId="0" xr:uid="{00000000-0006-0000-0700-00008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21" authorId="0" shapeId="0" xr:uid="{00000000-0006-0000-0700-00008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21" authorId="0" shapeId="0" xr:uid="{00000000-0006-0000-0700-00008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21" authorId="0" shapeId="0" xr:uid="{00000000-0006-0000-0700-00008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21" authorId="0" shapeId="0" xr:uid="{00000000-0006-0000-0700-00008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21" authorId="0" shapeId="0" xr:uid="{00000000-0006-0000-0700-00008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21" authorId="0" shapeId="0" xr:uid="{00000000-0006-0000-0700-00008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21" authorId="0" shapeId="0" xr:uid="{00000000-0006-0000-0700-00008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22" authorId="0" shapeId="0" xr:uid="{00000000-0006-0000-0700-00008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22" authorId="0" shapeId="0" xr:uid="{00000000-0006-0000-0700-00008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22" authorId="0" shapeId="0" xr:uid="{00000000-0006-0000-0700-00008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22" authorId="0" shapeId="0" xr:uid="{00000000-0006-0000-0700-00008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22" authorId="0" shapeId="0" xr:uid="{00000000-0006-0000-0700-00008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22" authorId="0" shapeId="0" xr:uid="{00000000-0006-0000-0700-00008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22" authorId="0" shapeId="0" xr:uid="{00000000-0006-0000-0700-00008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22" authorId="0" shapeId="0" xr:uid="{00000000-0006-0000-0700-00009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23" authorId="0" shapeId="0" xr:uid="{00000000-0006-0000-0700-00009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23" authorId="0" shapeId="0" xr:uid="{00000000-0006-0000-0700-00009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23" authorId="0" shapeId="0" xr:uid="{00000000-0006-0000-0700-00009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23" authorId="0" shapeId="0" xr:uid="{00000000-0006-0000-0700-00009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23" authorId="0" shapeId="0" xr:uid="{00000000-0006-0000-0700-00009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23" authorId="0" shapeId="0" xr:uid="{00000000-0006-0000-0700-00009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23" authorId="0" shapeId="0" xr:uid="{00000000-0006-0000-0700-00009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23" authorId="0" shapeId="0" xr:uid="{00000000-0006-0000-0700-00009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24" authorId="0" shapeId="0" xr:uid="{00000000-0006-0000-0700-00009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24" authorId="0" shapeId="0" xr:uid="{00000000-0006-0000-0700-00009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24" authorId="0" shapeId="0" xr:uid="{00000000-0006-0000-0700-00009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24" authorId="0" shapeId="0" xr:uid="{00000000-0006-0000-0700-00009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24" authorId="0" shapeId="0" xr:uid="{00000000-0006-0000-0700-00009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24" authorId="0" shapeId="0" xr:uid="{00000000-0006-0000-0700-00009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24" authorId="0" shapeId="0" xr:uid="{00000000-0006-0000-0700-00009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24" authorId="0" shapeId="0" xr:uid="{00000000-0006-0000-0700-0000A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25" authorId="0" shapeId="0" xr:uid="{00000000-0006-0000-0700-0000A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25" authorId="0" shapeId="0" xr:uid="{00000000-0006-0000-0700-0000A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25" authorId="0" shapeId="0" xr:uid="{00000000-0006-0000-0700-0000A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25" authorId="0" shapeId="0" xr:uid="{00000000-0006-0000-0700-0000A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25" authorId="0" shapeId="0" xr:uid="{00000000-0006-0000-0700-0000A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25" authorId="0" shapeId="0" xr:uid="{00000000-0006-0000-0700-0000A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25" authorId="0" shapeId="0" xr:uid="{00000000-0006-0000-0700-0000A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25" authorId="0" shapeId="0" xr:uid="{00000000-0006-0000-0700-0000A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26" authorId="0" shapeId="0" xr:uid="{00000000-0006-0000-0700-0000A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26" authorId="0" shapeId="0" xr:uid="{00000000-0006-0000-0700-0000A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26" authorId="0" shapeId="0" xr:uid="{00000000-0006-0000-0700-0000A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26" authorId="0" shapeId="0" xr:uid="{00000000-0006-0000-0700-0000A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26" authorId="0" shapeId="0" xr:uid="{00000000-0006-0000-0700-0000A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26" authorId="0" shapeId="0" xr:uid="{00000000-0006-0000-0700-0000A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26" authorId="0" shapeId="0" xr:uid="{00000000-0006-0000-0700-0000A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26" authorId="0" shapeId="0" xr:uid="{00000000-0006-0000-0700-0000B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27" authorId="0" shapeId="0" xr:uid="{00000000-0006-0000-0700-0000B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27" authorId="0" shapeId="0" xr:uid="{00000000-0006-0000-0700-0000B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27" authorId="0" shapeId="0" xr:uid="{00000000-0006-0000-0700-0000B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27" authorId="0" shapeId="0" xr:uid="{00000000-0006-0000-0700-0000B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27" authorId="0" shapeId="0" xr:uid="{00000000-0006-0000-0700-0000B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27" authorId="0" shapeId="0" xr:uid="{00000000-0006-0000-0700-0000B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27" authorId="0" shapeId="0" xr:uid="{00000000-0006-0000-0700-0000B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27" authorId="0" shapeId="0" xr:uid="{00000000-0006-0000-0700-0000B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28" authorId="0" shapeId="0" xr:uid="{00000000-0006-0000-0700-0000B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28" authorId="0" shapeId="0" xr:uid="{00000000-0006-0000-0700-0000B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28" authorId="0" shapeId="0" xr:uid="{00000000-0006-0000-0700-0000B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28" authorId="0" shapeId="0" xr:uid="{00000000-0006-0000-0700-0000B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28" authorId="0" shapeId="0" xr:uid="{00000000-0006-0000-0700-0000B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28" authorId="0" shapeId="0" xr:uid="{00000000-0006-0000-0700-0000B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28" authorId="0" shapeId="0" xr:uid="{00000000-0006-0000-0700-0000B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28" authorId="0" shapeId="0" xr:uid="{00000000-0006-0000-0700-0000C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29" authorId="0" shapeId="0" xr:uid="{00000000-0006-0000-0700-0000C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29" authorId="0" shapeId="0" xr:uid="{00000000-0006-0000-0700-0000C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29" authorId="0" shapeId="0" xr:uid="{00000000-0006-0000-0700-0000C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29" authorId="0" shapeId="0" xr:uid="{00000000-0006-0000-0700-0000C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29" authorId="0" shapeId="0" xr:uid="{00000000-0006-0000-0700-0000C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29" authorId="0" shapeId="0" xr:uid="{00000000-0006-0000-0700-0000C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29" authorId="0" shapeId="0" xr:uid="{00000000-0006-0000-0700-0000C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29" authorId="0" shapeId="0" xr:uid="{00000000-0006-0000-0700-0000C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30" authorId="0" shapeId="0" xr:uid="{00000000-0006-0000-0700-0000C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30" authorId="0" shapeId="0" xr:uid="{00000000-0006-0000-0700-0000C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30" authorId="0" shapeId="0" xr:uid="{00000000-0006-0000-0700-0000C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30" authorId="0" shapeId="0" xr:uid="{00000000-0006-0000-0700-0000C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30" authorId="0" shapeId="0" xr:uid="{00000000-0006-0000-0700-0000C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30" authorId="0" shapeId="0" xr:uid="{00000000-0006-0000-0700-0000C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30" authorId="0" shapeId="0" xr:uid="{00000000-0006-0000-0700-0000C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30" authorId="0" shapeId="0" xr:uid="{00000000-0006-0000-0700-0000D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31" authorId="0" shapeId="0" xr:uid="{00000000-0006-0000-0700-0000D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31" authorId="0" shapeId="0" xr:uid="{00000000-0006-0000-0700-0000D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31" authorId="0" shapeId="0" xr:uid="{00000000-0006-0000-0700-0000D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31" authorId="0" shapeId="0" xr:uid="{00000000-0006-0000-0700-0000D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31" authorId="0" shapeId="0" xr:uid="{00000000-0006-0000-0700-0000D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31" authorId="0" shapeId="0" xr:uid="{00000000-0006-0000-0700-0000D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31" authorId="0" shapeId="0" xr:uid="{00000000-0006-0000-0700-0000D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31" authorId="0" shapeId="0" xr:uid="{00000000-0006-0000-0700-0000D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32" authorId="0" shapeId="0" xr:uid="{00000000-0006-0000-0700-0000D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32" authorId="0" shapeId="0" xr:uid="{00000000-0006-0000-0700-0000D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32" authorId="0" shapeId="0" xr:uid="{00000000-0006-0000-0700-0000D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32" authorId="0" shapeId="0" xr:uid="{00000000-0006-0000-0700-0000D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32" authorId="0" shapeId="0" xr:uid="{00000000-0006-0000-0700-0000D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32" authorId="0" shapeId="0" xr:uid="{00000000-0006-0000-0700-0000D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32" authorId="0" shapeId="0" xr:uid="{00000000-0006-0000-0700-0000D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32" authorId="0" shapeId="0" xr:uid="{00000000-0006-0000-0700-0000E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33" authorId="0" shapeId="0" xr:uid="{00000000-0006-0000-0700-0000E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33" authorId="0" shapeId="0" xr:uid="{00000000-0006-0000-0700-0000E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33" authorId="0" shapeId="0" xr:uid="{00000000-0006-0000-0700-0000E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33" authorId="0" shapeId="0" xr:uid="{00000000-0006-0000-0700-0000E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33" authorId="0" shapeId="0" xr:uid="{00000000-0006-0000-0700-0000E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33" authorId="0" shapeId="0" xr:uid="{00000000-0006-0000-0700-0000E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33" authorId="0" shapeId="0" xr:uid="{00000000-0006-0000-0700-0000E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33" authorId="0" shapeId="0" xr:uid="{00000000-0006-0000-0700-0000E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34" authorId="0" shapeId="0" xr:uid="{00000000-0006-0000-0700-0000E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34" authorId="0" shapeId="0" xr:uid="{00000000-0006-0000-0700-0000E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34" authorId="0" shapeId="0" xr:uid="{00000000-0006-0000-0700-0000E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34" authorId="0" shapeId="0" xr:uid="{00000000-0006-0000-0700-0000E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34" authorId="0" shapeId="0" xr:uid="{00000000-0006-0000-0700-0000E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34" authorId="0" shapeId="0" xr:uid="{00000000-0006-0000-0700-0000E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34" authorId="0" shapeId="0" xr:uid="{00000000-0006-0000-0700-0000E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34" authorId="0" shapeId="0" xr:uid="{00000000-0006-0000-0700-0000F0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35" authorId="0" shapeId="0" xr:uid="{00000000-0006-0000-0700-0000F1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35" authorId="0" shapeId="0" xr:uid="{00000000-0006-0000-0700-0000F2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35" authorId="0" shapeId="0" xr:uid="{00000000-0006-0000-0700-0000F3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35" authorId="0" shapeId="0" xr:uid="{00000000-0006-0000-0700-0000F4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35" authorId="0" shapeId="0" xr:uid="{00000000-0006-0000-0700-0000F5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35" authorId="0" shapeId="0" xr:uid="{00000000-0006-0000-0700-0000F6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35" authorId="0" shapeId="0" xr:uid="{00000000-0006-0000-0700-0000F7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35" authorId="0" shapeId="0" xr:uid="{00000000-0006-0000-0700-0000F8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36" authorId="0" shapeId="0" xr:uid="{00000000-0006-0000-0700-0000F9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36" authorId="0" shapeId="0" xr:uid="{00000000-0006-0000-0700-0000FA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36" authorId="0" shapeId="0" xr:uid="{00000000-0006-0000-0700-0000FB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36" authorId="0" shapeId="0" xr:uid="{00000000-0006-0000-0700-0000FC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36" authorId="0" shapeId="0" xr:uid="{00000000-0006-0000-0700-0000FD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36" authorId="0" shapeId="0" xr:uid="{00000000-0006-0000-0700-0000FE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36" authorId="0" shapeId="0" xr:uid="{00000000-0006-0000-0700-0000FF00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36" authorId="0" shapeId="0" xr:uid="{00000000-0006-0000-0700-00000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37" authorId="0" shapeId="0" xr:uid="{00000000-0006-0000-0700-00000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37" authorId="0" shapeId="0" xr:uid="{00000000-0006-0000-0700-00000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37" authorId="0" shapeId="0" xr:uid="{00000000-0006-0000-0700-00000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37" authorId="0" shapeId="0" xr:uid="{00000000-0006-0000-0700-00000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37" authorId="0" shapeId="0" xr:uid="{00000000-0006-0000-0700-00000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37" authorId="0" shapeId="0" xr:uid="{00000000-0006-0000-0700-00000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37" authorId="0" shapeId="0" xr:uid="{00000000-0006-0000-0700-00000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37" authorId="0" shapeId="0" xr:uid="{00000000-0006-0000-0700-00000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38" authorId="0" shapeId="0" xr:uid="{00000000-0006-0000-0700-00000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38" authorId="0" shapeId="0" xr:uid="{00000000-0006-0000-0700-00000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38" authorId="0" shapeId="0" xr:uid="{00000000-0006-0000-0700-00000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38" authorId="0" shapeId="0" xr:uid="{00000000-0006-0000-0700-00000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38" authorId="0" shapeId="0" xr:uid="{00000000-0006-0000-0700-00000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38" authorId="0" shapeId="0" xr:uid="{00000000-0006-0000-0700-00000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38" authorId="0" shapeId="0" xr:uid="{00000000-0006-0000-0700-00000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38" authorId="0" shapeId="0" xr:uid="{00000000-0006-0000-0700-00001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39" authorId="0" shapeId="0" xr:uid="{00000000-0006-0000-0700-00001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39" authorId="0" shapeId="0" xr:uid="{00000000-0006-0000-0700-00001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39" authorId="0" shapeId="0" xr:uid="{00000000-0006-0000-0700-00001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39" authorId="0" shapeId="0" xr:uid="{00000000-0006-0000-0700-00001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39" authorId="0" shapeId="0" xr:uid="{00000000-0006-0000-0700-00001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39" authorId="0" shapeId="0" xr:uid="{00000000-0006-0000-0700-00001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39" authorId="0" shapeId="0" xr:uid="{00000000-0006-0000-0700-00001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39" authorId="0" shapeId="0" xr:uid="{00000000-0006-0000-0700-00001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40" authorId="0" shapeId="0" xr:uid="{00000000-0006-0000-0700-00001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40" authorId="0" shapeId="0" xr:uid="{00000000-0006-0000-0700-00001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40" authorId="0" shapeId="0" xr:uid="{00000000-0006-0000-0700-00001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40" authorId="0" shapeId="0" xr:uid="{00000000-0006-0000-0700-00001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40" authorId="0" shapeId="0" xr:uid="{00000000-0006-0000-0700-00001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40" authorId="0" shapeId="0" xr:uid="{00000000-0006-0000-0700-00001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40" authorId="0" shapeId="0" xr:uid="{00000000-0006-0000-0700-00001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40" authorId="0" shapeId="0" xr:uid="{00000000-0006-0000-0700-00002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41" authorId="0" shapeId="0" xr:uid="{00000000-0006-0000-0700-00002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41" authorId="0" shapeId="0" xr:uid="{00000000-0006-0000-0700-00002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41" authorId="0" shapeId="0" xr:uid="{00000000-0006-0000-0700-00002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41" authorId="0" shapeId="0" xr:uid="{00000000-0006-0000-0700-00002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41" authorId="0" shapeId="0" xr:uid="{00000000-0006-0000-0700-00002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41" authorId="0" shapeId="0" xr:uid="{00000000-0006-0000-0700-00002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41" authorId="0" shapeId="0" xr:uid="{00000000-0006-0000-0700-00002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41" authorId="0" shapeId="0" xr:uid="{00000000-0006-0000-0700-00002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42" authorId="0" shapeId="0" xr:uid="{00000000-0006-0000-0700-00002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42" authorId="0" shapeId="0" xr:uid="{00000000-0006-0000-0700-00002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42" authorId="0" shapeId="0" xr:uid="{00000000-0006-0000-0700-00002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42" authorId="0" shapeId="0" xr:uid="{00000000-0006-0000-0700-00002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42" authorId="0" shapeId="0" xr:uid="{00000000-0006-0000-0700-00002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42" authorId="0" shapeId="0" xr:uid="{00000000-0006-0000-0700-00002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42" authorId="0" shapeId="0" xr:uid="{00000000-0006-0000-0700-00002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42" authorId="0" shapeId="0" xr:uid="{00000000-0006-0000-0700-00003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43" authorId="0" shapeId="0" xr:uid="{00000000-0006-0000-0700-00003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43" authorId="0" shapeId="0" xr:uid="{00000000-0006-0000-0700-00003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43" authorId="0" shapeId="0" xr:uid="{00000000-0006-0000-0700-00003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43" authorId="0" shapeId="0" xr:uid="{00000000-0006-0000-0700-00003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43" authorId="0" shapeId="0" xr:uid="{00000000-0006-0000-0700-00003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43" authorId="0" shapeId="0" xr:uid="{00000000-0006-0000-0700-00003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43" authorId="0" shapeId="0" xr:uid="{00000000-0006-0000-0700-00003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43" authorId="0" shapeId="0" xr:uid="{00000000-0006-0000-0700-00003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44" authorId="0" shapeId="0" xr:uid="{00000000-0006-0000-0700-00003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44" authorId="0" shapeId="0" xr:uid="{00000000-0006-0000-0700-00003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44" authorId="0" shapeId="0" xr:uid="{00000000-0006-0000-0700-00003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44" authorId="0" shapeId="0" xr:uid="{00000000-0006-0000-0700-00003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44" authorId="0" shapeId="0" xr:uid="{00000000-0006-0000-0700-00003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44" authorId="0" shapeId="0" xr:uid="{00000000-0006-0000-0700-00003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44" authorId="0" shapeId="0" xr:uid="{00000000-0006-0000-0700-00003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44" authorId="0" shapeId="0" xr:uid="{00000000-0006-0000-0700-00004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45" authorId="0" shapeId="0" xr:uid="{00000000-0006-0000-0700-00004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45" authorId="0" shapeId="0" xr:uid="{00000000-0006-0000-0700-00004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45" authorId="0" shapeId="0" xr:uid="{00000000-0006-0000-0700-00004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45" authorId="0" shapeId="0" xr:uid="{00000000-0006-0000-0700-00004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45" authorId="0" shapeId="0" xr:uid="{00000000-0006-0000-0700-00004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45" authorId="0" shapeId="0" xr:uid="{00000000-0006-0000-0700-00004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45" authorId="0" shapeId="0" xr:uid="{00000000-0006-0000-0700-00004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45" authorId="0" shapeId="0" xr:uid="{00000000-0006-0000-0700-00004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46" authorId="0" shapeId="0" xr:uid="{00000000-0006-0000-0700-00004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46" authorId="0" shapeId="0" xr:uid="{00000000-0006-0000-0700-00004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46" authorId="0" shapeId="0" xr:uid="{00000000-0006-0000-0700-00004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46" authorId="0" shapeId="0" xr:uid="{00000000-0006-0000-0700-00004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46" authorId="0" shapeId="0" xr:uid="{00000000-0006-0000-0700-00004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46" authorId="0" shapeId="0" xr:uid="{00000000-0006-0000-0700-00004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46" authorId="0" shapeId="0" xr:uid="{00000000-0006-0000-0700-00004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46" authorId="0" shapeId="0" xr:uid="{00000000-0006-0000-0700-00005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47" authorId="0" shapeId="0" xr:uid="{00000000-0006-0000-0700-00005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47" authorId="0" shapeId="0" xr:uid="{00000000-0006-0000-0700-00005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47" authorId="0" shapeId="0" xr:uid="{00000000-0006-0000-0700-00005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47" authorId="0" shapeId="0" xr:uid="{00000000-0006-0000-0700-00005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47" authorId="0" shapeId="0" xr:uid="{00000000-0006-0000-0700-00005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47" authorId="0" shapeId="0" xr:uid="{00000000-0006-0000-0700-00005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47" authorId="0" shapeId="0" xr:uid="{00000000-0006-0000-0700-00005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47" authorId="0" shapeId="0" xr:uid="{00000000-0006-0000-0700-00005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48" authorId="0" shapeId="0" xr:uid="{00000000-0006-0000-0700-00005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48" authorId="0" shapeId="0" xr:uid="{00000000-0006-0000-0700-00005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48" authorId="0" shapeId="0" xr:uid="{00000000-0006-0000-0700-00005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48" authorId="0" shapeId="0" xr:uid="{00000000-0006-0000-0700-00005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48" authorId="0" shapeId="0" xr:uid="{00000000-0006-0000-0700-00005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48" authorId="0" shapeId="0" xr:uid="{00000000-0006-0000-0700-00005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48" authorId="0" shapeId="0" xr:uid="{00000000-0006-0000-0700-00005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48" authorId="0" shapeId="0" xr:uid="{00000000-0006-0000-0700-00006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49" authorId="0" shapeId="0" xr:uid="{00000000-0006-0000-0700-00006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49" authorId="0" shapeId="0" xr:uid="{00000000-0006-0000-0700-00006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49" authorId="0" shapeId="0" xr:uid="{00000000-0006-0000-0700-00006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49" authorId="0" shapeId="0" xr:uid="{00000000-0006-0000-0700-00006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49" authorId="0" shapeId="0" xr:uid="{00000000-0006-0000-0700-00006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49" authorId="0" shapeId="0" xr:uid="{00000000-0006-0000-0700-00006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49" authorId="0" shapeId="0" xr:uid="{00000000-0006-0000-0700-00006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49" authorId="0" shapeId="0" xr:uid="{00000000-0006-0000-0700-00006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50" authorId="0" shapeId="0" xr:uid="{00000000-0006-0000-0700-00006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0" authorId="0" shapeId="0" xr:uid="{00000000-0006-0000-0700-00006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0" authorId="0" shapeId="0" xr:uid="{00000000-0006-0000-0700-00006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0" authorId="0" shapeId="0" xr:uid="{00000000-0006-0000-0700-00006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0" authorId="0" shapeId="0" xr:uid="{00000000-0006-0000-0700-00006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0" authorId="0" shapeId="0" xr:uid="{00000000-0006-0000-0700-00006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50" authorId="0" shapeId="0" xr:uid="{00000000-0006-0000-0700-00006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50" authorId="0" shapeId="0" xr:uid="{00000000-0006-0000-0700-00007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51" authorId="0" shapeId="0" xr:uid="{00000000-0006-0000-0700-00007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1" authorId="0" shapeId="0" xr:uid="{00000000-0006-0000-0700-00007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1" authorId="0" shapeId="0" xr:uid="{00000000-0006-0000-0700-00007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1" authorId="0" shapeId="0" xr:uid="{00000000-0006-0000-0700-00007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1" authorId="0" shapeId="0" xr:uid="{00000000-0006-0000-0700-00007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1" authorId="0" shapeId="0" xr:uid="{00000000-0006-0000-0700-00007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51" authorId="0" shapeId="0" xr:uid="{00000000-0006-0000-0700-00007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51" authorId="0" shapeId="0" xr:uid="{00000000-0006-0000-0700-00007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52" authorId="0" shapeId="0" xr:uid="{00000000-0006-0000-0700-00007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2" authorId="0" shapeId="0" xr:uid="{00000000-0006-0000-0700-00007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2" authorId="0" shapeId="0" xr:uid="{00000000-0006-0000-0700-00007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2" authorId="0" shapeId="0" xr:uid="{00000000-0006-0000-0700-00007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2" authorId="0" shapeId="0" xr:uid="{00000000-0006-0000-0700-00007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2" authorId="0" shapeId="0" xr:uid="{00000000-0006-0000-0700-00007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52" authorId="0" shapeId="0" xr:uid="{00000000-0006-0000-0700-00007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52" authorId="0" shapeId="0" xr:uid="{00000000-0006-0000-0700-00008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53" authorId="0" shapeId="0" xr:uid="{00000000-0006-0000-0700-00008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3" authorId="0" shapeId="0" xr:uid="{00000000-0006-0000-0700-00008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3" authorId="0" shapeId="0" xr:uid="{00000000-0006-0000-0700-00008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3" authorId="0" shapeId="0" xr:uid="{00000000-0006-0000-0700-00008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3" authorId="0" shapeId="0" xr:uid="{00000000-0006-0000-0700-00008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3" authorId="0" shapeId="0" xr:uid="{00000000-0006-0000-0700-00008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53" authorId="0" shapeId="0" xr:uid="{00000000-0006-0000-0700-00008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53" authorId="0" shapeId="0" xr:uid="{00000000-0006-0000-0700-00008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54" authorId="0" shapeId="0" xr:uid="{00000000-0006-0000-0700-00008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4" authorId="0" shapeId="0" xr:uid="{00000000-0006-0000-0700-00008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4" authorId="0" shapeId="0" xr:uid="{00000000-0006-0000-0700-00008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4" authorId="0" shapeId="0" xr:uid="{00000000-0006-0000-0700-00008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4" authorId="0" shapeId="0" xr:uid="{00000000-0006-0000-0700-00008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4" authorId="0" shapeId="0" xr:uid="{00000000-0006-0000-0700-00008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54" authorId="0" shapeId="0" xr:uid="{00000000-0006-0000-0700-00008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54" authorId="0" shapeId="0" xr:uid="{00000000-0006-0000-0700-00009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55" authorId="0" shapeId="0" xr:uid="{00000000-0006-0000-0700-00009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5" authorId="0" shapeId="0" xr:uid="{00000000-0006-0000-0700-00009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5" authorId="0" shapeId="0" xr:uid="{00000000-0006-0000-0700-00009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5" authorId="0" shapeId="0" xr:uid="{00000000-0006-0000-0700-00009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5" authorId="0" shapeId="0" xr:uid="{00000000-0006-0000-0700-00009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5" authorId="0" shapeId="0" xr:uid="{00000000-0006-0000-0700-00009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55" authorId="0" shapeId="0" xr:uid="{00000000-0006-0000-0700-00009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55" authorId="0" shapeId="0" xr:uid="{00000000-0006-0000-0700-00009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56" authorId="0" shapeId="0" xr:uid="{00000000-0006-0000-0700-00009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6" authorId="0" shapeId="0" xr:uid="{00000000-0006-0000-0700-00009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6" authorId="0" shapeId="0" xr:uid="{00000000-0006-0000-0700-00009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6" authorId="0" shapeId="0" xr:uid="{00000000-0006-0000-0700-00009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6" authorId="0" shapeId="0" xr:uid="{00000000-0006-0000-0700-00009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6" authorId="0" shapeId="0" xr:uid="{00000000-0006-0000-0700-00009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56" authorId="0" shapeId="0" xr:uid="{00000000-0006-0000-0700-00009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56" authorId="0" shapeId="0" xr:uid="{00000000-0006-0000-0700-0000A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57" authorId="0" shapeId="0" xr:uid="{00000000-0006-0000-0700-0000A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7" authorId="0" shapeId="0" xr:uid="{00000000-0006-0000-0700-0000A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7" authorId="0" shapeId="0" xr:uid="{00000000-0006-0000-0700-0000A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7" authorId="0" shapeId="0" xr:uid="{00000000-0006-0000-0700-0000A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7" authorId="0" shapeId="0" xr:uid="{00000000-0006-0000-0700-0000A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7" authorId="0" shapeId="0" xr:uid="{00000000-0006-0000-0700-0000A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57" authorId="0" shapeId="0" xr:uid="{00000000-0006-0000-0700-0000A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57" authorId="0" shapeId="0" xr:uid="{00000000-0006-0000-0700-0000A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58" authorId="0" shapeId="0" xr:uid="{00000000-0006-0000-0700-0000A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8" authorId="0" shapeId="0" xr:uid="{00000000-0006-0000-0700-0000A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8" authorId="0" shapeId="0" xr:uid="{00000000-0006-0000-0700-0000A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8" authorId="0" shapeId="0" xr:uid="{00000000-0006-0000-0700-0000A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8" authorId="0" shapeId="0" xr:uid="{00000000-0006-0000-0700-0000A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8" authorId="0" shapeId="0" xr:uid="{00000000-0006-0000-0700-0000A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58" authorId="0" shapeId="0" xr:uid="{00000000-0006-0000-0700-0000A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58" authorId="0" shapeId="0" xr:uid="{00000000-0006-0000-0700-0000B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59" authorId="0" shapeId="0" xr:uid="{00000000-0006-0000-0700-0000B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59" authorId="0" shapeId="0" xr:uid="{00000000-0006-0000-0700-0000B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59" authorId="0" shapeId="0" xr:uid="{00000000-0006-0000-0700-0000B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59" authorId="0" shapeId="0" xr:uid="{00000000-0006-0000-0700-0000B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59" authorId="0" shapeId="0" xr:uid="{00000000-0006-0000-0700-0000B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59" authorId="0" shapeId="0" xr:uid="{00000000-0006-0000-0700-0000B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59" authorId="0" shapeId="0" xr:uid="{00000000-0006-0000-0700-0000B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59" authorId="0" shapeId="0" xr:uid="{00000000-0006-0000-0700-0000B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0" authorId="0" shapeId="0" xr:uid="{00000000-0006-0000-0700-0000B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0" authorId="0" shapeId="0" xr:uid="{00000000-0006-0000-0700-0000B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0" authorId="0" shapeId="0" xr:uid="{00000000-0006-0000-0700-0000B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0" authorId="0" shapeId="0" xr:uid="{00000000-0006-0000-0700-0000B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0" authorId="0" shapeId="0" xr:uid="{00000000-0006-0000-0700-0000B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0" authorId="0" shapeId="0" xr:uid="{00000000-0006-0000-0700-0000B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60" authorId="0" shapeId="0" xr:uid="{00000000-0006-0000-0700-0000B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60" authorId="0" shapeId="0" xr:uid="{00000000-0006-0000-0700-0000C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1" authorId="0" shapeId="0" xr:uid="{00000000-0006-0000-0700-0000C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1" authorId="0" shapeId="0" xr:uid="{00000000-0006-0000-0700-0000C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1" authorId="0" shapeId="0" xr:uid="{00000000-0006-0000-0700-0000C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1" authorId="0" shapeId="0" xr:uid="{00000000-0006-0000-0700-0000C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1" authorId="0" shapeId="0" xr:uid="{00000000-0006-0000-0700-0000C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1" authorId="0" shapeId="0" xr:uid="{00000000-0006-0000-0700-0000C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61" authorId="0" shapeId="0" xr:uid="{00000000-0006-0000-0700-0000C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61" authorId="0" shapeId="0" xr:uid="{00000000-0006-0000-0700-0000C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2" authorId="0" shapeId="0" xr:uid="{00000000-0006-0000-0700-0000C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2" authorId="0" shapeId="0" xr:uid="{00000000-0006-0000-0700-0000C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2" authorId="0" shapeId="0" xr:uid="{00000000-0006-0000-0700-0000C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2" authorId="0" shapeId="0" xr:uid="{00000000-0006-0000-0700-0000C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2" authorId="0" shapeId="0" xr:uid="{00000000-0006-0000-0700-0000C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2" authorId="0" shapeId="0" xr:uid="{00000000-0006-0000-0700-0000C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62" authorId="0" shapeId="0" xr:uid="{00000000-0006-0000-0700-0000C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62" authorId="0" shapeId="0" xr:uid="{00000000-0006-0000-0700-0000D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3" authorId="0" shapeId="0" xr:uid="{00000000-0006-0000-0700-0000D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3" authorId="0" shapeId="0" xr:uid="{00000000-0006-0000-0700-0000D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3" authorId="0" shapeId="0" xr:uid="{00000000-0006-0000-0700-0000D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3" authorId="0" shapeId="0" xr:uid="{00000000-0006-0000-0700-0000D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3" authorId="0" shapeId="0" xr:uid="{00000000-0006-0000-0700-0000D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3" authorId="0" shapeId="0" xr:uid="{00000000-0006-0000-0700-0000D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63" authorId="0" shapeId="0" xr:uid="{00000000-0006-0000-0700-0000D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63" authorId="0" shapeId="0" xr:uid="{00000000-0006-0000-0700-0000D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4" authorId="0" shapeId="0" xr:uid="{00000000-0006-0000-0700-0000D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4" authorId="0" shapeId="0" xr:uid="{00000000-0006-0000-0700-0000D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4" authorId="0" shapeId="0" xr:uid="{00000000-0006-0000-0700-0000D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4" authorId="0" shapeId="0" xr:uid="{00000000-0006-0000-0700-0000D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4" authorId="0" shapeId="0" xr:uid="{00000000-0006-0000-0700-0000D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4" authorId="0" shapeId="0" xr:uid="{00000000-0006-0000-0700-0000D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64" authorId="0" shapeId="0" xr:uid="{00000000-0006-0000-0700-0000D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64" authorId="0" shapeId="0" xr:uid="{00000000-0006-0000-0700-0000E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5" authorId="0" shapeId="0" xr:uid="{00000000-0006-0000-0700-0000E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5" authorId="0" shapeId="0" xr:uid="{00000000-0006-0000-0700-0000E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5" authorId="0" shapeId="0" xr:uid="{00000000-0006-0000-0700-0000E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5" authorId="0" shapeId="0" xr:uid="{00000000-0006-0000-0700-0000E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5" authorId="0" shapeId="0" xr:uid="{00000000-0006-0000-0700-0000E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5" authorId="0" shapeId="0" xr:uid="{00000000-0006-0000-0700-0000E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65" authorId="0" shapeId="0" xr:uid="{00000000-0006-0000-0700-0000E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65" authorId="0" shapeId="0" xr:uid="{00000000-0006-0000-0700-0000E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6" authorId="0" shapeId="0" xr:uid="{00000000-0006-0000-0700-0000E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6" authorId="0" shapeId="0" xr:uid="{00000000-0006-0000-0700-0000E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6" authorId="0" shapeId="0" xr:uid="{00000000-0006-0000-0700-0000E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6" authorId="0" shapeId="0" xr:uid="{00000000-0006-0000-0700-0000E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6" authorId="0" shapeId="0" xr:uid="{00000000-0006-0000-0700-0000E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6" authorId="0" shapeId="0" xr:uid="{00000000-0006-0000-0700-0000E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66" authorId="0" shapeId="0" xr:uid="{00000000-0006-0000-0700-0000E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66" authorId="0" shapeId="0" xr:uid="{00000000-0006-0000-0700-0000F0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7" authorId="0" shapeId="0" xr:uid="{00000000-0006-0000-0700-0000F1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7" authorId="0" shapeId="0" xr:uid="{00000000-0006-0000-0700-0000F2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7" authorId="0" shapeId="0" xr:uid="{00000000-0006-0000-0700-0000F3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7" authorId="0" shapeId="0" xr:uid="{00000000-0006-0000-0700-0000F4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7" authorId="0" shapeId="0" xr:uid="{00000000-0006-0000-0700-0000F5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7" authorId="0" shapeId="0" xr:uid="{00000000-0006-0000-0700-0000F6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67" authorId="0" shapeId="0" xr:uid="{00000000-0006-0000-0700-0000F7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67" authorId="0" shapeId="0" xr:uid="{00000000-0006-0000-0700-0000F8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8" authorId="0" shapeId="0" xr:uid="{00000000-0006-0000-0700-0000F9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8" authorId="0" shapeId="0" xr:uid="{00000000-0006-0000-0700-0000FA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8" authorId="0" shapeId="0" xr:uid="{00000000-0006-0000-0700-0000FB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8" authorId="0" shapeId="0" xr:uid="{00000000-0006-0000-0700-0000FC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8" authorId="0" shapeId="0" xr:uid="{00000000-0006-0000-0700-0000FD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8" authorId="0" shapeId="0" xr:uid="{00000000-0006-0000-0700-0000FE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68" authorId="0" shapeId="0" xr:uid="{00000000-0006-0000-0700-0000FF01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68" authorId="0" shapeId="0" xr:uid="{00000000-0006-0000-0700-00000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69" authorId="0" shapeId="0" xr:uid="{00000000-0006-0000-0700-00000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69" authorId="0" shapeId="0" xr:uid="{00000000-0006-0000-0700-00000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69" authorId="0" shapeId="0" xr:uid="{00000000-0006-0000-0700-00000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69" authorId="0" shapeId="0" xr:uid="{00000000-0006-0000-0700-00000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69" authorId="0" shapeId="0" xr:uid="{00000000-0006-0000-0700-00000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69" authorId="0" shapeId="0" xr:uid="{00000000-0006-0000-0700-00000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69" authorId="0" shapeId="0" xr:uid="{00000000-0006-0000-0700-00000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69" authorId="0" shapeId="0" xr:uid="{00000000-0006-0000-0700-00000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0" authorId="0" shapeId="0" xr:uid="{00000000-0006-0000-0700-00000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0" authorId="0" shapeId="0" xr:uid="{00000000-0006-0000-0700-00000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0" authorId="0" shapeId="0" xr:uid="{00000000-0006-0000-0700-00000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0" authorId="0" shapeId="0" xr:uid="{00000000-0006-0000-0700-00000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0" authorId="0" shapeId="0" xr:uid="{00000000-0006-0000-0700-00000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0" authorId="0" shapeId="0" xr:uid="{00000000-0006-0000-0700-00000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70" authorId="0" shapeId="0" xr:uid="{00000000-0006-0000-0700-00000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70" authorId="0" shapeId="0" xr:uid="{00000000-0006-0000-0700-00001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1" authorId="0" shapeId="0" xr:uid="{00000000-0006-0000-0700-00001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1" authorId="0" shapeId="0" xr:uid="{00000000-0006-0000-0700-00001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1" authorId="0" shapeId="0" xr:uid="{00000000-0006-0000-0700-00001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1" authorId="0" shapeId="0" xr:uid="{00000000-0006-0000-0700-00001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1" authorId="0" shapeId="0" xr:uid="{00000000-0006-0000-0700-00001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1" authorId="0" shapeId="0" xr:uid="{00000000-0006-0000-0700-00001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71" authorId="0" shapeId="0" xr:uid="{00000000-0006-0000-0700-00001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71" authorId="0" shapeId="0" xr:uid="{00000000-0006-0000-0700-00001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2" authorId="0" shapeId="0" xr:uid="{00000000-0006-0000-0700-00001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2" authorId="0" shapeId="0" xr:uid="{00000000-0006-0000-0700-00001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2" authorId="0" shapeId="0" xr:uid="{00000000-0006-0000-0700-00001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2" authorId="0" shapeId="0" xr:uid="{00000000-0006-0000-0700-00001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2" authorId="0" shapeId="0" xr:uid="{00000000-0006-0000-0700-00001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2" authorId="0" shapeId="0" xr:uid="{00000000-0006-0000-0700-00001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72" authorId="0" shapeId="0" xr:uid="{00000000-0006-0000-0700-00001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72" authorId="0" shapeId="0" xr:uid="{00000000-0006-0000-0700-00002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3" authorId="0" shapeId="0" xr:uid="{00000000-0006-0000-0700-00002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3" authorId="0" shapeId="0" xr:uid="{00000000-0006-0000-0700-00002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3" authorId="0" shapeId="0" xr:uid="{00000000-0006-0000-0700-00002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3" authorId="0" shapeId="0" xr:uid="{00000000-0006-0000-0700-00002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3" authorId="0" shapeId="0" xr:uid="{00000000-0006-0000-0700-00002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3" authorId="0" shapeId="0" xr:uid="{00000000-0006-0000-0700-00002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73" authorId="0" shapeId="0" xr:uid="{00000000-0006-0000-0700-00002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73" authorId="0" shapeId="0" xr:uid="{00000000-0006-0000-0700-00002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4" authorId="0" shapeId="0" xr:uid="{00000000-0006-0000-0700-00002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4" authorId="0" shapeId="0" xr:uid="{00000000-0006-0000-0700-00002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4" authorId="0" shapeId="0" xr:uid="{00000000-0006-0000-0700-00002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4" authorId="0" shapeId="0" xr:uid="{00000000-0006-0000-0700-00002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4" authorId="0" shapeId="0" xr:uid="{00000000-0006-0000-0700-00002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4" authorId="0" shapeId="0" xr:uid="{00000000-0006-0000-0700-00002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74" authorId="0" shapeId="0" xr:uid="{00000000-0006-0000-0700-00002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74" authorId="0" shapeId="0" xr:uid="{00000000-0006-0000-0700-00003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5" authorId="0" shapeId="0" xr:uid="{00000000-0006-0000-0700-00003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5" authorId="0" shapeId="0" xr:uid="{00000000-0006-0000-0700-00003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5" authorId="0" shapeId="0" xr:uid="{00000000-0006-0000-0700-00003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5" authorId="0" shapeId="0" xr:uid="{00000000-0006-0000-0700-00003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5" authorId="0" shapeId="0" xr:uid="{00000000-0006-0000-0700-00003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5" authorId="0" shapeId="0" xr:uid="{00000000-0006-0000-0700-00003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75" authorId="0" shapeId="0" xr:uid="{00000000-0006-0000-0700-00003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75" authorId="0" shapeId="0" xr:uid="{00000000-0006-0000-0700-00003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6" authorId="0" shapeId="0" xr:uid="{00000000-0006-0000-0700-00003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6" authorId="0" shapeId="0" xr:uid="{00000000-0006-0000-0700-00003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6" authorId="0" shapeId="0" xr:uid="{00000000-0006-0000-0700-00003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6" authorId="0" shapeId="0" xr:uid="{00000000-0006-0000-0700-00003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6" authorId="0" shapeId="0" xr:uid="{00000000-0006-0000-0700-00003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6" authorId="0" shapeId="0" xr:uid="{00000000-0006-0000-0700-00003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76" authorId="0" shapeId="0" xr:uid="{00000000-0006-0000-0700-00003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76" authorId="0" shapeId="0" xr:uid="{00000000-0006-0000-0700-00004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7" authorId="0" shapeId="0" xr:uid="{00000000-0006-0000-0700-00004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7" authorId="0" shapeId="0" xr:uid="{00000000-0006-0000-0700-00004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7" authorId="0" shapeId="0" xr:uid="{00000000-0006-0000-0700-00004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7" authorId="0" shapeId="0" xr:uid="{00000000-0006-0000-0700-00004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7" authorId="0" shapeId="0" xr:uid="{00000000-0006-0000-0700-00004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7" authorId="0" shapeId="0" xr:uid="{00000000-0006-0000-0700-00004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77" authorId="0" shapeId="0" xr:uid="{00000000-0006-0000-0700-00004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77" authorId="0" shapeId="0" xr:uid="{00000000-0006-0000-0700-00004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8" authorId="0" shapeId="0" xr:uid="{00000000-0006-0000-0700-00004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8" authorId="0" shapeId="0" xr:uid="{00000000-0006-0000-0700-00004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8" authorId="0" shapeId="0" xr:uid="{00000000-0006-0000-0700-00004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8" authorId="0" shapeId="0" xr:uid="{00000000-0006-0000-0700-00004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8" authorId="0" shapeId="0" xr:uid="{00000000-0006-0000-0700-00004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8" authorId="0" shapeId="0" xr:uid="{00000000-0006-0000-0700-00004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78" authorId="0" shapeId="0" xr:uid="{00000000-0006-0000-0700-00004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78" authorId="0" shapeId="0" xr:uid="{00000000-0006-0000-0700-00005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79" authorId="0" shapeId="0" xr:uid="{00000000-0006-0000-0700-00005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79" authorId="0" shapeId="0" xr:uid="{00000000-0006-0000-0700-00005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79" authorId="0" shapeId="0" xr:uid="{00000000-0006-0000-0700-00005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79" authorId="0" shapeId="0" xr:uid="{00000000-0006-0000-0700-00005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79" authorId="0" shapeId="0" xr:uid="{00000000-0006-0000-0700-00005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79" authorId="0" shapeId="0" xr:uid="{00000000-0006-0000-0700-00005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79" authorId="0" shapeId="0" xr:uid="{00000000-0006-0000-0700-00005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79" authorId="0" shapeId="0" xr:uid="{00000000-0006-0000-0700-00005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0" authorId="0" shapeId="0" xr:uid="{00000000-0006-0000-0700-00005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0" authorId="0" shapeId="0" xr:uid="{00000000-0006-0000-0700-00005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0" authorId="0" shapeId="0" xr:uid="{00000000-0006-0000-0700-00005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80" authorId="0" shapeId="0" xr:uid="{00000000-0006-0000-0700-00005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80" authorId="0" shapeId="0" xr:uid="{00000000-0006-0000-0700-00005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80" authorId="0" shapeId="0" xr:uid="{00000000-0006-0000-0700-00005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80" authorId="0" shapeId="0" xr:uid="{00000000-0006-0000-0700-00005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80" authorId="0" shapeId="0" xr:uid="{00000000-0006-0000-0700-00006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1" authorId="0" shapeId="0" xr:uid="{00000000-0006-0000-0700-00006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1" authorId="0" shapeId="0" xr:uid="{00000000-0006-0000-0700-00006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1" authorId="0" shapeId="0" xr:uid="{00000000-0006-0000-0700-00006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81" authorId="0" shapeId="0" xr:uid="{00000000-0006-0000-0700-00006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81" authorId="0" shapeId="0" xr:uid="{00000000-0006-0000-0700-00006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81" authorId="0" shapeId="0" xr:uid="{00000000-0006-0000-0700-00006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81" authorId="0" shapeId="0" xr:uid="{00000000-0006-0000-0700-00006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81" authorId="0" shapeId="0" xr:uid="{00000000-0006-0000-0700-00006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2" authorId="0" shapeId="0" xr:uid="{00000000-0006-0000-0700-00006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2" authorId="0" shapeId="0" xr:uid="{00000000-0006-0000-0700-00006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2" authorId="0" shapeId="0" xr:uid="{00000000-0006-0000-0700-00006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82" authorId="0" shapeId="0" xr:uid="{00000000-0006-0000-0700-00006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82" authorId="0" shapeId="0" xr:uid="{00000000-0006-0000-0700-00006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82" authorId="0" shapeId="0" xr:uid="{00000000-0006-0000-0700-00006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82" authorId="0" shapeId="0" xr:uid="{00000000-0006-0000-0700-00006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82" authorId="0" shapeId="0" xr:uid="{00000000-0006-0000-0700-00007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3" authorId="0" shapeId="0" xr:uid="{00000000-0006-0000-0700-00007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3" authorId="0" shapeId="0" xr:uid="{00000000-0006-0000-0700-00007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3" authorId="0" shapeId="0" xr:uid="{00000000-0006-0000-0700-00007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83" authorId="0" shapeId="0" xr:uid="{00000000-0006-0000-0700-00007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83" authorId="0" shapeId="0" xr:uid="{00000000-0006-0000-0700-00007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83" authorId="0" shapeId="0" xr:uid="{00000000-0006-0000-0700-00007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83" authorId="0" shapeId="0" xr:uid="{00000000-0006-0000-0700-00007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83" authorId="0" shapeId="0" xr:uid="{00000000-0006-0000-0700-00007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4" authorId="0" shapeId="0" xr:uid="{00000000-0006-0000-0700-00007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4" authorId="0" shapeId="0" xr:uid="{00000000-0006-0000-0700-00007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4" authorId="0" shapeId="0" xr:uid="{00000000-0006-0000-0700-00007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84" authorId="0" shapeId="0" xr:uid="{00000000-0006-0000-0700-00007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84" authorId="0" shapeId="0" xr:uid="{00000000-0006-0000-0700-00007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84" authorId="0" shapeId="0" xr:uid="{00000000-0006-0000-0700-00007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84" authorId="0" shapeId="0" xr:uid="{00000000-0006-0000-0700-00007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84" authorId="0" shapeId="0" xr:uid="{00000000-0006-0000-0700-00008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5" authorId="0" shapeId="0" xr:uid="{00000000-0006-0000-0700-00008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5" authorId="0" shapeId="0" xr:uid="{00000000-0006-0000-0700-00008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5" authorId="0" shapeId="0" xr:uid="{00000000-0006-0000-0700-00008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85" authorId="0" shapeId="0" xr:uid="{00000000-0006-0000-0700-00008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85" authorId="0" shapeId="0" xr:uid="{00000000-0006-0000-0700-00008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85" authorId="0" shapeId="0" xr:uid="{00000000-0006-0000-0700-00008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85" authorId="0" shapeId="0" xr:uid="{00000000-0006-0000-0700-00008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85" authorId="0" shapeId="0" xr:uid="{00000000-0006-0000-0700-00008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6" authorId="0" shapeId="0" xr:uid="{00000000-0006-0000-0700-00008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6" authorId="0" shapeId="0" xr:uid="{00000000-0006-0000-0700-00008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6" authorId="0" shapeId="0" xr:uid="{00000000-0006-0000-0700-00008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86" authorId="0" shapeId="0" xr:uid="{00000000-0006-0000-0700-00008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86" authorId="0" shapeId="0" xr:uid="{00000000-0006-0000-0700-00008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86" authorId="0" shapeId="0" xr:uid="{00000000-0006-0000-0700-00008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86" authorId="0" shapeId="0" xr:uid="{00000000-0006-0000-0700-00008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86" authorId="0" shapeId="0" xr:uid="{00000000-0006-0000-0700-00009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7" authorId="0" shapeId="0" xr:uid="{00000000-0006-0000-0700-00009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7" authorId="0" shapeId="0" xr:uid="{00000000-0006-0000-0700-00009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7" authorId="0" shapeId="0" xr:uid="{00000000-0006-0000-0700-00009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87" authorId="0" shapeId="0" xr:uid="{00000000-0006-0000-0700-00009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87" authorId="0" shapeId="0" xr:uid="{00000000-0006-0000-0700-00009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87" authorId="0" shapeId="0" xr:uid="{00000000-0006-0000-0700-00009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87" authorId="0" shapeId="0" xr:uid="{00000000-0006-0000-0700-00009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87" authorId="0" shapeId="0" xr:uid="{00000000-0006-0000-0700-00009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8" authorId="0" shapeId="0" xr:uid="{00000000-0006-0000-0700-00009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8" authorId="0" shapeId="0" xr:uid="{00000000-0006-0000-0700-00009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8" authorId="0" shapeId="0" xr:uid="{00000000-0006-0000-0700-00009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88" authorId="0" shapeId="0" xr:uid="{00000000-0006-0000-0700-00009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88" authorId="0" shapeId="0" xr:uid="{00000000-0006-0000-0700-00009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88" authorId="0" shapeId="0" xr:uid="{00000000-0006-0000-0700-00009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88" authorId="0" shapeId="0" xr:uid="{00000000-0006-0000-0700-00009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88" authorId="0" shapeId="0" xr:uid="{00000000-0006-0000-0700-0000A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89" authorId="0" shapeId="0" xr:uid="{00000000-0006-0000-0700-0000A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89" authorId="0" shapeId="0" xr:uid="{00000000-0006-0000-0700-0000A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89" authorId="0" shapeId="0" xr:uid="{00000000-0006-0000-0700-0000A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89" authorId="0" shapeId="0" xr:uid="{00000000-0006-0000-0700-0000A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89" authorId="0" shapeId="0" xr:uid="{00000000-0006-0000-0700-0000A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89" authorId="0" shapeId="0" xr:uid="{00000000-0006-0000-0700-0000A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89" authorId="0" shapeId="0" xr:uid="{00000000-0006-0000-0700-0000A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89" authorId="0" shapeId="0" xr:uid="{00000000-0006-0000-0700-0000A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90" authorId="0" shapeId="0" xr:uid="{00000000-0006-0000-0700-0000A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90" authorId="0" shapeId="0" xr:uid="{00000000-0006-0000-0700-0000A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90" authorId="0" shapeId="0" xr:uid="{00000000-0006-0000-0700-0000A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90" authorId="0" shapeId="0" xr:uid="{00000000-0006-0000-0700-0000A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90" authorId="0" shapeId="0" xr:uid="{00000000-0006-0000-0700-0000A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90" authorId="0" shapeId="0" xr:uid="{00000000-0006-0000-0700-0000A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90" authorId="0" shapeId="0" xr:uid="{00000000-0006-0000-0700-0000A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90" authorId="0" shapeId="0" xr:uid="{00000000-0006-0000-0700-0000B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91" authorId="0" shapeId="0" xr:uid="{00000000-0006-0000-0700-0000B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91" authorId="0" shapeId="0" xr:uid="{00000000-0006-0000-0700-0000B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91" authorId="0" shapeId="0" xr:uid="{00000000-0006-0000-0700-0000B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91" authorId="0" shapeId="0" xr:uid="{00000000-0006-0000-0700-0000B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91" authorId="0" shapeId="0" xr:uid="{00000000-0006-0000-0700-0000B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91" authorId="0" shapeId="0" xr:uid="{00000000-0006-0000-0700-0000B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91" authorId="0" shapeId="0" xr:uid="{00000000-0006-0000-0700-0000B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91" authorId="0" shapeId="0" xr:uid="{00000000-0006-0000-0700-0000B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92" authorId="0" shapeId="0" xr:uid="{00000000-0006-0000-0700-0000B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92" authorId="0" shapeId="0" xr:uid="{00000000-0006-0000-0700-0000B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92" authorId="0" shapeId="0" xr:uid="{00000000-0006-0000-0700-0000B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92" authorId="0" shapeId="0" xr:uid="{00000000-0006-0000-0700-0000B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92" authorId="0" shapeId="0" xr:uid="{00000000-0006-0000-0700-0000B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92" authorId="0" shapeId="0" xr:uid="{00000000-0006-0000-0700-0000B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92" authorId="0" shapeId="0" xr:uid="{00000000-0006-0000-0700-0000B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92" authorId="0" shapeId="0" xr:uid="{00000000-0006-0000-0700-0000C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93" authorId="0" shapeId="0" xr:uid="{00000000-0006-0000-0700-0000C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93" authorId="0" shapeId="0" xr:uid="{00000000-0006-0000-0700-0000C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93" authorId="0" shapeId="0" xr:uid="{00000000-0006-0000-0700-0000C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93" authorId="0" shapeId="0" xr:uid="{00000000-0006-0000-0700-0000C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93" authorId="0" shapeId="0" xr:uid="{00000000-0006-0000-0700-0000C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93" authorId="0" shapeId="0" xr:uid="{00000000-0006-0000-0700-0000C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93" authorId="0" shapeId="0" xr:uid="{00000000-0006-0000-0700-0000C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93" authorId="0" shapeId="0" xr:uid="{00000000-0006-0000-0700-0000C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94" authorId="0" shapeId="0" xr:uid="{00000000-0006-0000-0700-0000C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94" authorId="0" shapeId="0" xr:uid="{00000000-0006-0000-0700-0000C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94" authorId="0" shapeId="0" xr:uid="{00000000-0006-0000-0700-0000C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94" authorId="0" shapeId="0" xr:uid="{00000000-0006-0000-0700-0000C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94" authorId="0" shapeId="0" xr:uid="{00000000-0006-0000-0700-0000C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94" authorId="0" shapeId="0" xr:uid="{00000000-0006-0000-0700-0000C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94" authorId="0" shapeId="0" xr:uid="{00000000-0006-0000-0700-0000C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94" authorId="0" shapeId="0" xr:uid="{00000000-0006-0000-0700-0000D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95" authorId="0" shapeId="0" xr:uid="{00000000-0006-0000-0700-0000D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95" authorId="0" shapeId="0" xr:uid="{00000000-0006-0000-0700-0000D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95" authorId="0" shapeId="0" xr:uid="{00000000-0006-0000-0700-0000D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95" authorId="0" shapeId="0" xr:uid="{00000000-0006-0000-0700-0000D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95" authorId="0" shapeId="0" xr:uid="{00000000-0006-0000-0700-0000D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95" authorId="0" shapeId="0" xr:uid="{00000000-0006-0000-0700-0000D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95" authorId="0" shapeId="0" xr:uid="{00000000-0006-0000-0700-0000D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95" authorId="0" shapeId="0" xr:uid="{00000000-0006-0000-0700-0000D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96" authorId="0" shapeId="0" xr:uid="{00000000-0006-0000-0700-0000D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96" authorId="0" shapeId="0" xr:uid="{00000000-0006-0000-0700-0000D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96" authorId="0" shapeId="0" xr:uid="{00000000-0006-0000-0700-0000D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96" authorId="0" shapeId="0" xr:uid="{00000000-0006-0000-0700-0000D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96" authorId="0" shapeId="0" xr:uid="{00000000-0006-0000-0700-0000D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96" authorId="0" shapeId="0" xr:uid="{00000000-0006-0000-0700-0000D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96" authorId="0" shapeId="0" xr:uid="{00000000-0006-0000-0700-0000D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96" authorId="0" shapeId="0" xr:uid="{00000000-0006-0000-0700-0000E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97" authorId="0" shapeId="0" xr:uid="{00000000-0006-0000-0700-0000E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97" authorId="0" shapeId="0" xr:uid="{00000000-0006-0000-0700-0000E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97" authorId="0" shapeId="0" xr:uid="{00000000-0006-0000-0700-0000E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97" authorId="0" shapeId="0" xr:uid="{00000000-0006-0000-0700-0000E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97" authorId="0" shapeId="0" xr:uid="{00000000-0006-0000-0700-0000E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97" authorId="0" shapeId="0" xr:uid="{00000000-0006-0000-0700-0000E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97" authorId="0" shapeId="0" xr:uid="{00000000-0006-0000-0700-0000E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97" authorId="0" shapeId="0" xr:uid="{00000000-0006-0000-0700-0000E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98" authorId="0" shapeId="0" xr:uid="{00000000-0006-0000-0700-0000E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98" authorId="0" shapeId="0" xr:uid="{00000000-0006-0000-0700-0000E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98" authorId="0" shapeId="0" xr:uid="{00000000-0006-0000-0700-0000E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98" authorId="0" shapeId="0" xr:uid="{00000000-0006-0000-0700-0000E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98" authorId="0" shapeId="0" xr:uid="{00000000-0006-0000-0700-0000E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98" authorId="0" shapeId="0" xr:uid="{00000000-0006-0000-0700-0000E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98" authorId="0" shapeId="0" xr:uid="{00000000-0006-0000-0700-0000E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98" authorId="0" shapeId="0" xr:uid="{00000000-0006-0000-0700-0000F0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99" authorId="0" shapeId="0" xr:uid="{00000000-0006-0000-0700-0000F1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99" authorId="0" shapeId="0" xr:uid="{00000000-0006-0000-0700-0000F2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99" authorId="0" shapeId="0" xr:uid="{00000000-0006-0000-0700-0000F3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99" authorId="0" shapeId="0" xr:uid="{00000000-0006-0000-0700-0000F4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99" authorId="0" shapeId="0" xr:uid="{00000000-0006-0000-0700-0000F5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99" authorId="0" shapeId="0" xr:uid="{00000000-0006-0000-0700-0000F6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99" authorId="0" shapeId="0" xr:uid="{00000000-0006-0000-0700-0000F7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99" authorId="0" shapeId="0" xr:uid="{00000000-0006-0000-0700-0000F8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00" authorId="0" shapeId="0" xr:uid="{00000000-0006-0000-0700-0000F9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00" authorId="0" shapeId="0" xr:uid="{00000000-0006-0000-0700-0000FA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00" authorId="0" shapeId="0" xr:uid="{00000000-0006-0000-0700-0000FB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00" authorId="0" shapeId="0" xr:uid="{00000000-0006-0000-0700-0000FC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00" authorId="0" shapeId="0" xr:uid="{00000000-0006-0000-0700-0000FD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00" authorId="0" shapeId="0" xr:uid="{00000000-0006-0000-0700-0000FE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00" authorId="0" shapeId="0" xr:uid="{00000000-0006-0000-0700-0000FF02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00" authorId="0" shapeId="0" xr:uid="{00000000-0006-0000-0700-00000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01" authorId="0" shapeId="0" xr:uid="{00000000-0006-0000-0700-00000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01" authorId="0" shapeId="0" xr:uid="{00000000-0006-0000-0700-00000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01" authorId="0" shapeId="0" xr:uid="{00000000-0006-0000-0700-00000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01" authorId="0" shapeId="0" xr:uid="{00000000-0006-0000-0700-00000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01" authorId="0" shapeId="0" xr:uid="{00000000-0006-0000-0700-00000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01" authorId="0" shapeId="0" xr:uid="{00000000-0006-0000-0700-00000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01" authorId="0" shapeId="0" xr:uid="{00000000-0006-0000-0700-00000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01" authorId="0" shapeId="0" xr:uid="{00000000-0006-0000-0700-00000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02" authorId="0" shapeId="0" xr:uid="{00000000-0006-0000-0700-00000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02" authorId="0" shapeId="0" xr:uid="{00000000-0006-0000-0700-00000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02" authorId="0" shapeId="0" xr:uid="{00000000-0006-0000-0700-00000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02" authorId="0" shapeId="0" xr:uid="{00000000-0006-0000-0700-00000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02" authorId="0" shapeId="0" xr:uid="{00000000-0006-0000-0700-00000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02" authorId="0" shapeId="0" xr:uid="{00000000-0006-0000-0700-00000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02" authorId="0" shapeId="0" xr:uid="{00000000-0006-0000-0700-00000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02" authorId="0" shapeId="0" xr:uid="{00000000-0006-0000-0700-00001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03" authorId="0" shapeId="0" xr:uid="{00000000-0006-0000-0700-00001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03" authorId="0" shapeId="0" xr:uid="{00000000-0006-0000-0700-00001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03" authorId="0" shapeId="0" xr:uid="{00000000-0006-0000-0700-00001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03" authorId="0" shapeId="0" xr:uid="{00000000-0006-0000-0700-00001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03" authorId="0" shapeId="0" xr:uid="{00000000-0006-0000-0700-00001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03" authorId="0" shapeId="0" xr:uid="{00000000-0006-0000-0700-00001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03" authorId="0" shapeId="0" xr:uid="{00000000-0006-0000-0700-00001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03" authorId="0" shapeId="0" xr:uid="{00000000-0006-0000-0700-00001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04" authorId="0" shapeId="0" xr:uid="{00000000-0006-0000-0700-00001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04" authorId="0" shapeId="0" xr:uid="{00000000-0006-0000-0700-00001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04" authorId="0" shapeId="0" xr:uid="{00000000-0006-0000-0700-00001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04" authorId="0" shapeId="0" xr:uid="{00000000-0006-0000-0700-00001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04" authorId="0" shapeId="0" xr:uid="{00000000-0006-0000-0700-00001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04" authorId="0" shapeId="0" xr:uid="{00000000-0006-0000-0700-00001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04" authorId="0" shapeId="0" xr:uid="{00000000-0006-0000-0700-00001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04" authorId="0" shapeId="0" xr:uid="{00000000-0006-0000-0700-00002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05" authorId="0" shapeId="0" xr:uid="{00000000-0006-0000-0700-00002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05" authorId="0" shapeId="0" xr:uid="{00000000-0006-0000-0700-00002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05" authorId="0" shapeId="0" xr:uid="{00000000-0006-0000-0700-00002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05" authorId="0" shapeId="0" xr:uid="{00000000-0006-0000-0700-00002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05" authorId="0" shapeId="0" xr:uid="{00000000-0006-0000-0700-00002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05" authorId="0" shapeId="0" xr:uid="{00000000-0006-0000-0700-00002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05" authorId="0" shapeId="0" xr:uid="{00000000-0006-0000-0700-00002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05" authorId="0" shapeId="0" xr:uid="{00000000-0006-0000-0700-00002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06" authorId="0" shapeId="0" xr:uid="{00000000-0006-0000-0700-00002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06" authorId="0" shapeId="0" xr:uid="{00000000-0006-0000-0700-00002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06" authorId="0" shapeId="0" xr:uid="{00000000-0006-0000-0700-00002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06" authorId="0" shapeId="0" xr:uid="{00000000-0006-0000-0700-00002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06" authorId="0" shapeId="0" xr:uid="{00000000-0006-0000-0700-00002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06" authorId="0" shapeId="0" xr:uid="{00000000-0006-0000-0700-00002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06" authorId="0" shapeId="0" xr:uid="{00000000-0006-0000-0700-00002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06" authorId="0" shapeId="0" xr:uid="{00000000-0006-0000-0700-00003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07" authorId="0" shapeId="0" xr:uid="{00000000-0006-0000-0700-00003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07" authorId="0" shapeId="0" xr:uid="{00000000-0006-0000-0700-00003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07" authorId="0" shapeId="0" xr:uid="{00000000-0006-0000-0700-00003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07" authorId="0" shapeId="0" xr:uid="{00000000-0006-0000-0700-00003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07" authorId="0" shapeId="0" xr:uid="{00000000-0006-0000-0700-00003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07" authorId="0" shapeId="0" xr:uid="{00000000-0006-0000-0700-00003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07" authorId="0" shapeId="0" xr:uid="{00000000-0006-0000-0700-00003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07" authorId="0" shapeId="0" xr:uid="{00000000-0006-0000-0700-00003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08" authorId="0" shapeId="0" xr:uid="{00000000-0006-0000-0700-00003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08" authorId="0" shapeId="0" xr:uid="{00000000-0006-0000-0700-00003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08" authorId="0" shapeId="0" xr:uid="{00000000-0006-0000-0700-00003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08" authorId="0" shapeId="0" xr:uid="{00000000-0006-0000-0700-00003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08" authorId="0" shapeId="0" xr:uid="{00000000-0006-0000-0700-00003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08" authorId="0" shapeId="0" xr:uid="{00000000-0006-0000-0700-00003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08" authorId="0" shapeId="0" xr:uid="{00000000-0006-0000-0700-00003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08" authorId="0" shapeId="0" xr:uid="{00000000-0006-0000-0700-00004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09" authorId="0" shapeId="0" xr:uid="{00000000-0006-0000-0700-00004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09" authorId="0" shapeId="0" xr:uid="{00000000-0006-0000-0700-00004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09" authorId="0" shapeId="0" xr:uid="{00000000-0006-0000-0700-00004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09" authorId="0" shapeId="0" xr:uid="{00000000-0006-0000-0700-00004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09" authorId="0" shapeId="0" xr:uid="{00000000-0006-0000-0700-00004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09" authorId="0" shapeId="0" xr:uid="{00000000-0006-0000-0700-00004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09" authorId="0" shapeId="0" xr:uid="{00000000-0006-0000-0700-00004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09" authorId="0" shapeId="0" xr:uid="{00000000-0006-0000-0700-00004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10" authorId="0" shapeId="0" xr:uid="{00000000-0006-0000-0700-00004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10" authorId="0" shapeId="0" xr:uid="{00000000-0006-0000-0700-00004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10" authorId="0" shapeId="0" xr:uid="{00000000-0006-0000-0700-00004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10" authorId="0" shapeId="0" xr:uid="{00000000-0006-0000-0700-00004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10" authorId="0" shapeId="0" xr:uid="{00000000-0006-0000-0700-00004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10" authorId="0" shapeId="0" xr:uid="{00000000-0006-0000-0700-00004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10" authorId="0" shapeId="0" xr:uid="{00000000-0006-0000-0700-00004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10" authorId="0" shapeId="0" xr:uid="{00000000-0006-0000-0700-00005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11" authorId="0" shapeId="0" xr:uid="{00000000-0006-0000-0700-00005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11" authorId="0" shapeId="0" xr:uid="{00000000-0006-0000-0700-00005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11" authorId="0" shapeId="0" xr:uid="{00000000-0006-0000-0700-00005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11" authorId="0" shapeId="0" xr:uid="{00000000-0006-0000-0700-00005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11" authorId="0" shapeId="0" xr:uid="{00000000-0006-0000-0700-00005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11" authorId="0" shapeId="0" xr:uid="{00000000-0006-0000-0700-00005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11" authorId="0" shapeId="0" xr:uid="{00000000-0006-0000-0700-00005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11" authorId="0" shapeId="0" xr:uid="{00000000-0006-0000-0700-00005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12" authorId="0" shapeId="0" xr:uid="{00000000-0006-0000-0700-00005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12" authorId="0" shapeId="0" xr:uid="{00000000-0006-0000-0700-00005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12" authorId="0" shapeId="0" xr:uid="{00000000-0006-0000-0700-00005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12" authorId="0" shapeId="0" xr:uid="{00000000-0006-0000-0700-00005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12" authorId="0" shapeId="0" xr:uid="{00000000-0006-0000-0700-00005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12" authorId="0" shapeId="0" xr:uid="{00000000-0006-0000-0700-00005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12" authorId="0" shapeId="0" xr:uid="{00000000-0006-0000-0700-00005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12" authorId="0" shapeId="0" xr:uid="{00000000-0006-0000-0700-00006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13" authorId="0" shapeId="0" xr:uid="{00000000-0006-0000-0700-00006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13" authorId="0" shapeId="0" xr:uid="{00000000-0006-0000-0700-00006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13" authorId="0" shapeId="0" xr:uid="{00000000-0006-0000-0700-00006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13" authorId="0" shapeId="0" xr:uid="{00000000-0006-0000-0700-00006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13" authorId="0" shapeId="0" xr:uid="{00000000-0006-0000-0700-00006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13" authorId="0" shapeId="0" xr:uid="{00000000-0006-0000-0700-00006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13" authorId="0" shapeId="0" xr:uid="{00000000-0006-0000-0700-00006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13" authorId="0" shapeId="0" xr:uid="{00000000-0006-0000-0700-00006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14" authorId="0" shapeId="0" xr:uid="{00000000-0006-0000-0700-00006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14" authorId="0" shapeId="0" xr:uid="{00000000-0006-0000-0700-00006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14" authorId="0" shapeId="0" xr:uid="{00000000-0006-0000-0700-00006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14" authorId="0" shapeId="0" xr:uid="{00000000-0006-0000-0700-00006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14" authorId="0" shapeId="0" xr:uid="{00000000-0006-0000-0700-00006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14" authorId="0" shapeId="0" xr:uid="{00000000-0006-0000-0700-00006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14" authorId="0" shapeId="0" xr:uid="{00000000-0006-0000-0700-00006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14" authorId="0" shapeId="0" xr:uid="{00000000-0006-0000-0700-00007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15" authorId="0" shapeId="0" xr:uid="{00000000-0006-0000-0700-00007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15" authorId="0" shapeId="0" xr:uid="{00000000-0006-0000-0700-00007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15" authorId="0" shapeId="0" xr:uid="{00000000-0006-0000-0700-00007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15" authorId="0" shapeId="0" xr:uid="{00000000-0006-0000-0700-00007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15" authorId="0" shapeId="0" xr:uid="{00000000-0006-0000-0700-00007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15" authorId="0" shapeId="0" xr:uid="{00000000-0006-0000-0700-00007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15" authorId="0" shapeId="0" xr:uid="{00000000-0006-0000-0700-00007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15" authorId="0" shapeId="0" xr:uid="{00000000-0006-0000-0700-00007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16" authorId="0" shapeId="0" xr:uid="{00000000-0006-0000-0700-00007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16" authorId="0" shapeId="0" xr:uid="{00000000-0006-0000-0700-00007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16" authorId="0" shapeId="0" xr:uid="{00000000-0006-0000-0700-00007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16" authorId="0" shapeId="0" xr:uid="{00000000-0006-0000-0700-00007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16" authorId="0" shapeId="0" xr:uid="{00000000-0006-0000-0700-00007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16" authorId="0" shapeId="0" xr:uid="{00000000-0006-0000-0700-00007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16" authorId="0" shapeId="0" xr:uid="{00000000-0006-0000-0700-00007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16" authorId="0" shapeId="0" xr:uid="{00000000-0006-0000-0700-00008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17" authorId="0" shapeId="0" xr:uid="{00000000-0006-0000-0700-00008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17" authorId="0" shapeId="0" xr:uid="{00000000-0006-0000-0700-00008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17" authorId="0" shapeId="0" xr:uid="{00000000-0006-0000-0700-00008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17" authorId="0" shapeId="0" xr:uid="{00000000-0006-0000-0700-00008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17" authorId="0" shapeId="0" xr:uid="{00000000-0006-0000-0700-00008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17" authorId="0" shapeId="0" xr:uid="{00000000-0006-0000-0700-00008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17" authorId="0" shapeId="0" xr:uid="{00000000-0006-0000-0700-00008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17" authorId="0" shapeId="0" xr:uid="{00000000-0006-0000-0700-00008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18" authorId="0" shapeId="0" xr:uid="{00000000-0006-0000-0700-00008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18" authorId="0" shapeId="0" xr:uid="{00000000-0006-0000-0700-00008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18" authorId="0" shapeId="0" xr:uid="{00000000-0006-0000-0700-00008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18" authorId="0" shapeId="0" xr:uid="{00000000-0006-0000-0700-00008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18" authorId="0" shapeId="0" xr:uid="{00000000-0006-0000-0700-00008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18" authorId="0" shapeId="0" xr:uid="{00000000-0006-0000-0700-00008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18" authorId="0" shapeId="0" xr:uid="{00000000-0006-0000-0700-00008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18" authorId="0" shapeId="0" xr:uid="{00000000-0006-0000-0700-00009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19" authorId="0" shapeId="0" xr:uid="{00000000-0006-0000-0700-00009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19" authorId="0" shapeId="0" xr:uid="{00000000-0006-0000-0700-00009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19" authorId="0" shapeId="0" xr:uid="{00000000-0006-0000-0700-00009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19" authorId="0" shapeId="0" xr:uid="{00000000-0006-0000-0700-00009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19" authorId="0" shapeId="0" xr:uid="{00000000-0006-0000-0700-00009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19" authorId="0" shapeId="0" xr:uid="{00000000-0006-0000-0700-00009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19" authorId="0" shapeId="0" xr:uid="{00000000-0006-0000-0700-00009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19" authorId="0" shapeId="0" xr:uid="{00000000-0006-0000-0700-00009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20" authorId="0" shapeId="0" xr:uid="{00000000-0006-0000-0700-00009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20" authorId="0" shapeId="0" xr:uid="{00000000-0006-0000-0700-00009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20" authorId="0" shapeId="0" xr:uid="{00000000-0006-0000-0700-00009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20" authorId="0" shapeId="0" xr:uid="{00000000-0006-0000-0700-00009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20" authorId="0" shapeId="0" xr:uid="{00000000-0006-0000-0700-00009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20" authorId="0" shapeId="0" xr:uid="{00000000-0006-0000-0700-00009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20" authorId="0" shapeId="0" xr:uid="{00000000-0006-0000-0700-00009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20" authorId="0" shapeId="0" xr:uid="{00000000-0006-0000-0700-0000A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21" authorId="0" shapeId="0" xr:uid="{00000000-0006-0000-0700-0000A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21" authorId="0" shapeId="0" xr:uid="{00000000-0006-0000-0700-0000A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21" authorId="0" shapeId="0" xr:uid="{00000000-0006-0000-0700-0000A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21" authorId="0" shapeId="0" xr:uid="{00000000-0006-0000-0700-0000A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21" authorId="0" shapeId="0" xr:uid="{00000000-0006-0000-0700-0000A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21" authorId="0" shapeId="0" xr:uid="{00000000-0006-0000-0700-0000A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21" authorId="0" shapeId="0" xr:uid="{00000000-0006-0000-0700-0000A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21" authorId="0" shapeId="0" xr:uid="{00000000-0006-0000-0700-0000A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22" authorId="0" shapeId="0" xr:uid="{00000000-0006-0000-0700-0000A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22" authorId="0" shapeId="0" xr:uid="{00000000-0006-0000-0700-0000A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22" authorId="0" shapeId="0" xr:uid="{00000000-0006-0000-0700-0000A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22" authorId="0" shapeId="0" xr:uid="{00000000-0006-0000-0700-0000A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22" authorId="0" shapeId="0" xr:uid="{00000000-0006-0000-0700-0000A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22" authorId="0" shapeId="0" xr:uid="{00000000-0006-0000-0700-0000A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22" authorId="0" shapeId="0" xr:uid="{00000000-0006-0000-0700-0000A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22" authorId="0" shapeId="0" xr:uid="{00000000-0006-0000-0700-0000B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23" authorId="0" shapeId="0" xr:uid="{00000000-0006-0000-0700-0000B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23" authorId="0" shapeId="0" xr:uid="{00000000-0006-0000-0700-0000B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23" authorId="0" shapeId="0" xr:uid="{00000000-0006-0000-0700-0000B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23" authorId="0" shapeId="0" xr:uid="{00000000-0006-0000-0700-0000B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23" authorId="0" shapeId="0" xr:uid="{00000000-0006-0000-0700-0000B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23" authorId="0" shapeId="0" xr:uid="{00000000-0006-0000-0700-0000B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23" authorId="0" shapeId="0" xr:uid="{00000000-0006-0000-0700-0000B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23" authorId="0" shapeId="0" xr:uid="{00000000-0006-0000-0700-0000B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24" authorId="0" shapeId="0" xr:uid="{00000000-0006-0000-0700-0000B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24" authorId="0" shapeId="0" xr:uid="{00000000-0006-0000-0700-0000B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24" authorId="0" shapeId="0" xr:uid="{00000000-0006-0000-0700-0000B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24" authorId="0" shapeId="0" xr:uid="{00000000-0006-0000-0700-0000B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24" authorId="0" shapeId="0" xr:uid="{00000000-0006-0000-0700-0000B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24" authorId="0" shapeId="0" xr:uid="{00000000-0006-0000-0700-0000B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24" authorId="0" shapeId="0" xr:uid="{00000000-0006-0000-0700-0000B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24" authorId="0" shapeId="0" xr:uid="{00000000-0006-0000-0700-0000C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25" authorId="0" shapeId="0" xr:uid="{00000000-0006-0000-0700-0000C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25" authorId="0" shapeId="0" xr:uid="{00000000-0006-0000-0700-0000C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25" authorId="0" shapeId="0" xr:uid="{00000000-0006-0000-0700-0000C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25" authorId="0" shapeId="0" xr:uid="{00000000-0006-0000-0700-0000C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25" authorId="0" shapeId="0" xr:uid="{00000000-0006-0000-0700-0000C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25" authorId="0" shapeId="0" xr:uid="{00000000-0006-0000-0700-0000C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25" authorId="0" shapeId="0" xr:uid="{00000000-0006-0000-0700-0000C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25" authorId="0" shapeId="0" xr:uid="{00000000-0006-0000-0700-0000C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26" authorId="0" shapeId="0" xr:uid="{00000000-0006-0000-0700-0000C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26" authorId="0" shapeId="0" xr:uid="{00000000-0006-0000-0700-0000C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26" authorId="0" shapeId="0" xr:uid="{00000000-0006-0000-0700-0000C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26" authorId="0" shapeId="0" xr:uid="{00000000-0006-0000-0700-0000C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26" authorId="0" shapeId="0" xr:uid="{00000000-0006-0000-0700-0000C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26" authorId="0" shapeId="0" xr:uid="{00000000-0006-0000-0700-0000C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26" authorId="0" shapeId="0" xr:uid="{00000000-0006-0000-0700-0000C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26" authorId="0" shapeId="0" xr:uid="{00000000-0006-0000-0700-0000D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27" authorId="0" shapeId="0" xr:uid="{00000000-0006-0000-0700-0000D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27" authorId="0" shapeId="0" xr:uid="{00000000-0006-0000-0700-0000D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27" authorId="0" shapeId="0" xr:uid="{00000000-0006-0000-0700-0000D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27" authorId="0" shapeId="0" xr:uid="{00000000-0006-0000-0700-0000D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27" authorId="0" shapeId="0" xr:uid="{00000000-0006-0000-0700-0000D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27" authorId="0" shapeId="0" xr:uid="{00000000-0006-0000-0700-0000D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27" authorId="0" shapeId="0" xr:uid="{00000000-0006-0000-0700-0000D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27" authorId="0" shapeId="0" xr:uid="{00000000-0006-0000-0700-0000D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28" authorId="0" shapeId="0" xr:uid="{00000000-0006-0000-0700-0000D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28" authorId="0" shapeId="0" xr:uid="{00000000-0006-0000-0700-0000D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28" authorId="0" shapeId="0" xr:uid="{00000000-0006-0000-0700-0000D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28" authorId="0" shapeId="0" xr:uid="{00000000-0006-0000-0700-0000D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28" authorId="0" shapeId="0" xr:uid="{00000000-0006-0000-0700-0000D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28" authorId="0" shapeId="0" xr:uid="{00000000-0006-0000-0700-0000D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28" authorId="0" shapeId="0" xr:uid="{00000000-0006-0000-0700-0000D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28" authorId="0" shapeId="0" xr:uid="{00000000-0006-0000-0700-0000E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29" authorId="0" shapeId="0" xr:uid="{00000000-0006-0000-0700-0000E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29" authorId="0" shapeId="0" xr:uid="{00000000-0006-0000-0700-0000E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29" authorId="0" shapeId="0" xr:uid="{00000000-0006-0000-0700-0000E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29" authorId="0" shapeId="0" xr:uid="{00000000-0006-0000-0700-0000E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29" authorId="0" shapeId="0" xr:uid="{00000000-0006-0000-0700-0000E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29" authorId="0" shapeId="0" xr:uid="{00000000-0006-0000-0700-0000E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29" authorId="0" shapeId="0" xr:uid="{00000000-0006-0000-0700-0000E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29" authorId="0" shapeId="0" xr:uid="{00000000-0006-0000-0700-0000E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30" authorId="0" shapeId="0" xr:uid="{00000000-0006-0000-0700-0000E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30" authorId="0" shapeId="0" xr:uid="{00000000-0006-0000-0700-0000E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30" authorId="0" shapeId="0" xr:uid="{00000000-0006-0000-0700-0000E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30" authorId="0" shapeId="0" xr:uid="{00000000-0006-0000-0700-0000E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30" authorId="0" shapeId="0" xr:uid="{00000000-0006-0000-0700-0000E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30" authorId="0" shapeId="0" xr:uid="{00000000-0006-0000-0700-0000E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30" authorId="0" shapeId="0" xr:uid="{00000000-0006-0000-0700-0000E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30" authorId="0" shapeId="0" xr:uid="{00000000-0006-0000-0700-0000F0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31" authorId="0" shapeId="0" xr:uid="{00000000-0006-0000-0700-0000F1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31" authorId="0" shapeId="0" xr:uid="{00000000-0006-0000-0700-0000F2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31" authorId="0" shapeId="0" xr:uid="{00000000-0006-0000-0700-0000F3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31" authorId="0" shapeId="0" xr:uid="{00000000-0006-0000-0700-0000F4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31" authorId="0" shapeId="0" xr:uid="{00000000-0006-0000-0700-0000F5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31" authorId="0" shapeId="0" xr:uid="{00000000-0006-0000-0700-0000F6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31" authorId="0" shapeId="0" xr:uid="{00000000-0006-0000-0700-0000F7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31" authorId="0" shapeId="0" xr:uid="{00000000-0006-0000-0700-0000F8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32" authorId="0" shapeId="0" xr:uid="{00000000-0006-0000-0700-0000F9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32" authorId="0" shapeId="0" xr:uid="{00000000-0006-0000-0700-0000FA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32" authorId="0" shapeId="0" xr:uid="{00000000-0006-0000-0700-0000FB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32" authorId="0" shapeId="0" xr:uid="{00000000-0006-0000-0700-0000FC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32" authorId="0" shapeId="0" xr:uid="{00000000-0006-0000-0700-0000FD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32" authorId="0" shapeId="0" xr:uid="{00000000-0006-0000-0700-0000FE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32" authorId="0" shapeId="0" xr:uid="{00000000-0006-0000-0700-0000FF03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32" authorId="0" shapeId="0" xr:uid="{00000000-0006-0000-0700-000000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33" authorId="0" shapeId="0" xr:uid="{00000000-0006-0000-0700-000001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33" authorId="0" shapeId="0" xr:uid="{00000000-0006-0000-0700-000002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33" authorId="0" shapeId="0" xr:uid="{00000000-0006-0000-0700-000003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33" authorId="0" shapeId="0" xr:uid="{00000000-0006-0000-0700-000004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33" authorId="0" shapeId="0" xr:uid="{00000000-0006-0000-0700-000005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33" authorId="0" shapeId="0" xr:uid="{00000000-0006-0000-0700-000006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33" authorId="0" shapeId="0" xr:uid="{00000000-0006-0000-0700-000007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33" authorId="0" shapeId="0" xr:uid="{00000000-0006-0000-0700-000008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34" authorId="0" shapeId="0" xr:uid="{00000000-0006-0000-0700-000009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34" authorId="0" shapeId="0" xr:uid="{00000000-0006-0000-0700-00000A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34" authorId="0" shapeId="0" xr:uid="{00000000-0006-0000-0700-00000B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34" authorId="0" shapeId="0" xr:uid="{00000000-0006-0000-0700-00000C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34" authorId="0" shapeId="0" xr:uid="{00000000-0006-0000-0700-00000D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34" authorId="0" shapeId="0" xr:uid="{00000000-0006-0000-0700-00000E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34" authorId="0" shapeId="0" xr:uid="{00000000-0006-0000-0700-00000F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34" authorId="0" shapeId="0" xr:uid="{00000000-0006-0000-0700-000010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A135" authorId="0" shapeId="0" xr:uid="{00000000-0006-0000-0700-000011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B135" authorId="0" shapeId="0" xr:uid="{00000000-0006-0000-0700-000012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C135" authorId="0" shapeId="0" xr:uid="{00000000-0006-0000-0700-000013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D135" authorId="0" shapeId="0" xr:uid="{00000000-0006-0000-0700-000014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E135" authorId="0" shapeId="0" xr:uid="{00000000-0006-0000-0700-000015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F135" authorId="0" shapeId="0" xr:uid="{00000000-0006-0000-0700-000016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G135" authorId="0" shapeId="0" xr:uid="{00000000-0006-0000-0700-000017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  <comment ref="H135" authorId="0" shapeId="0" xr:uid="{00000000-0006-0000-0700-000018040000}">
      <text>
        <r>
          <rPr>
            <sz val="11"/>
            <color theme="1"/>
            <rFont val="Calibri"/>
            <family val="2"/>
            <scheme val="minor"/>
          </rPr>
          <t>Source: Synthetic Monday-Morning Liquidity case designed for the TBAFP presentation. Not based on a real company.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</authors>
  <commentList>
    <comment ref="K5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6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7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8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9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0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1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2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3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4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5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6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7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8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9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20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21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22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23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24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25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26" authorId="0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27" authorId="0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28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29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30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31" authorId="0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32" authorId="0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33" authorId="0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34" authorId="0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35" authorId="0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36" authorId="0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37" authorId="0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38" authorId="0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39" authorId="0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40" authorId="0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41" authorId="0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42" authorId="0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43" authorId="0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44" authorId="0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45" authorId="0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46" authorId="0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47" authorId="0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48" authorId="0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49" authorId="0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50" authorId="0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51" authorId="0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52" authorId="0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53" authorId="0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54" authorId="0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55" authorId="0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56" authorId="0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57" authorId="0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58" authorId="0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59" authorId="0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60" authorId="0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61" authorId="0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62" authorId="0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63" authorId="0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64" authorId="0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65" authorId="0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66" authorId="0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67" authorId="0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68" authorId="0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69" authorId="0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70" authorId="0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71" authorId="0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72" authorId="0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73" authorId="0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74" authorId="0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75" authorId="0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76" authorId="0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77" authorId="0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78" authorId="0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79" authorId="0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80" authorId="0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81" authorId="0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82" authorId="0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83" authorId="0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84" authorId="0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85" authorId="0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86" authorId="0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87" authorId="0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88" authorId="0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89" authorId="0" shapeId="0" xr:uid="{00000000-0006-0000-0800-000055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90" authorId="0" shapeId="0" xr:uid="{00000000-0006-0000-0800-000056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91" authorId="0" shapeId="0" xr:uid="{00000000-0006-0000-0800-000057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92" authorId="0" shapeId="0" xr:uid="{00000000-0006-0000-0800-000058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93" authorId="0" shapeId="0" xr:uid="{00000000-0006-0000-0800-000059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94" authorId="0" shapeId="0" xr:uid="{00000000-0006-0000-0800-00005A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95" authorId="0" shapeId="0" xr:uid="{00000000-0006-0000-0800-00005B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96" authorId="0" shapeId="0" xr:uid="{00000000-0006-0000-0800-00005C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97" authorId="0" shapeId="0" xr:uid="{00000000-0006-0000-0800-00005D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98" authorId="0" shapeId="0" xr:uid="{00000000-0006-0000-0800-00005E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99" authorId="0" shapeId="0" xr:uid="{00000000-0006-0000-0800-00005F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00" authorId="0" shapeId="0" xr:uid="{00000000-0006-0000-0800-000060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01" authorId="0" shapeId="0" xr:uid="{00000000-0006-0000-0800-000061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02" authorId="0" shapeId="0" xr:uid="{00000000-0006-0000-0800-000062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03" authorId="0" shapeId="0" xr:uid="{00000000-0006-0000-0800-000063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04" authorId="0" shapeId="0" xr:uid="{00000000-0006-0000-0800-000064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05" authorId="0" shapeId="0" xr:uid="{00000000-0006-0000-0800-000065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06" authorId="0" shapeId="0" xr:uid="{00000000-0006-0000-0800-000066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07" authorId="0" shapeId="0" xr:uid="{00000000-0006-0000-0800-000067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08" authorId="0" shapeId="0" xr:uid="{00000000-0006-0000-0800-000068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09" authorId="0" shapeId="0" xr:uid="{00000000-0006-0000-0800-000069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10" authorId="0" shapeId="0" xr:uid="{00000000-0006-0000-0800-00006A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11" authorId="0" shapeId="0" xr:uid="{00000000-0006-0000-0800-00006B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12" authorId="0" shapeId="0" xr:uid="{00000000-0006-0000-0800-00006C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13" authorId="0" shapeId="0" xr:uid="{00000000-0006-0000-0800-00006D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14" authorId="0" shapeId="0" xr:uid="{00000000-0006-0000-0800-00006E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15" authorId="0" shapeId="0" xr:uid="{00000000-0006-0000-0800-00006F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16" authorId="0" shapeId="0" xr:uid="{00000000-0006-0000-0800-000070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17" authorId="0" shapeId="0" xr:uid="{00000000-0006-0000-0800-000071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18" authorId="0" shapeId="0" xr:uid="{00000000-0006-0000-0800-000072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19" authorId="0" shapeId="0" xr:uid="{00000000-0006-0000-0800-000073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20" authorId="0" shapeId="0" xr:uid="{00000000-0006-0000-0800-000074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21" authorId="0" shapeId="0" xr:uid="{00000000-0006-0000-0800-000075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22" authorId="0" shapeId="0" xr:uid="{00000000-0006-0000-0800-000076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23" authorId="0" shapeId="0" xr:uid="{00000000-0006-0000-0800-000077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24" authorId="0" shapeId="0" xr:uid="{00000000-0006-0000-0800-000078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25" authorId="0" shapeId="0" xr:uid="{00000000-0006-0000-0800-000079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26" authorId="0" shapeId="0" xr:uid="{00000000-0006-0000-0800-00007A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27" authorId="0" shapeId="0" xr:uid="{00000000-0006-0000-0800-00007B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28" authorId="0" shapeId="0" xr:uid="{00000000-0006-0000-0800-00007C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29" authorId="0" shapeId="0" xr:uid="{00000000-0006-0000-0800-00007D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30" authorId="0" shapeId="0" xr:uid="{00000000-0006-0000-0800-00007E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31" authorId="0" shapeId="0" xr:uid="{00000000-0006-0000-0800-00007F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32" authorId="0" shapeId="0" xr:uid="{00000000-0006-0000-0800-000080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33" authorId="0" shapeId="0" xr:uid="{00000000-0006-0000-0800-000081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34" authorId="0" shapeId="0" xr:uid="{00000000-0006-0000-0800-000082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35" authorId="0" shapeId="0" xr:uid="{00000000-0006-0000-0800-000083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36" authorId="0" shapeId="0" xr:uid="{00000000-0006-0000-0800-000084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37" authorId="0" shapeId="0" xr:uid="{00000000-0006-0000-0800-000085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38" authorId="0" shapeId="0" xr:uid="{00000000-0006-0000-0800-000086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39" authorId="0" shapeId="0" xr:uid="{00000000-0006-0000-0800-000087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40" authorId="0" shapeId="0" xr:uid="{00000000-0006-0000-0800-000088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41" authorId="0" shapeId="0" xr:uid="{00000000-0006-0000-0800-000089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42" authorId="0" shapeId="0" xr:uid="{00000000-0006-0000-0800-00008A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43" authorId="0" shapeId="0" xr:uid="{00000000-0006-0000-0800-00008B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44" authorId="0" shapeId="0" xr:uid="{00000000-0006-0000-0800-00008C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45" authorId="0" shapeId="0" xr:uid="{00000000-0006-0000-0800-00008D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46" authorId="0" shapeId="0" xr:uid="{00000000-0006-0000-0800-00008E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47" authorId="0" shapeId="0" xr:uid="{00000000-0006-0000-0800-00008F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48" authorId="0" shapeId="0" xr:uid="{00000000-0006-0000-0800-000090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49" authorId="0" shapeId="0" xr:uid="{00000000-0006-0000-0800-000091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50" authorId="0" shapeId="0" xr:uid="{00000000-0006-0000-0800-000092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51" authorId="0" shapeId="0" xr:uid="{00000000-0006-0000-0800-000093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52" authorId="0" shapeId="0" xr:uid="{00000000-0006-0000-0800-000094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53" authorId="0" shapeId="0" xr:uid="{00000000-0006-0000-0800-000095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54" authorId="0" shapeId="0" xr:uid="{00000000-0006-0000-0800-000096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55" authorId="0" shapeId="0" xr:uid="{00000000-0006-0000-0800-000097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56" authorId="0" shapeId="0" xr:uid="{00000000-0006-0000-0800-000098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57" authorId="0" shapeId="0" xr:uid="{00000000-0006-0000-0800-000099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58" authorId="0" shapeId="0" xr:uid="{00000000-0006-0000-0800-00009A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59" authorId="0" shapeId="0" xr:uid="{00000000-0006-0000-0800-00009B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60" authorId="0" shapeId="0" xr:uid="{00000000-0006-0000-0800-00009C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61" authorId="0" shapeId="0" xr:uid="{00000000-0006-0000-0800-00009D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62" authorId="0" shapeId="0" xr:uid="{00000000-0006-0000-0800-00009E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63" authorId="0" shapeId="0" xr:uid="{00000000-0006-0000-0800-00009F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64" authorId="0" shapeId="0" xr:uid="{00000000-0006-0000-0800-0000A0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65" authorId="0" shapeId="0" xr:uid="{00000000-0006-0000-0800-0000A1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66" authorId="0" shapeId="0" xr:uid="{00000000-0006-0000-0800-0000A2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67" authorId="0" shapeId="0" xr:uid="{00000000-0006-0000-0800-0000A3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68" authorId="0" shapeId="0" xr:uid="{00000000-0006-0000-0800-0000A4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69" authorId="0" shapeId="0" xr:uid="{00000000-0006-0000-0800-0000A5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70" authorId="0" shapeId="0" xr:uid="{00000000-0006-0000-0800-0000A6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71" authorId="0" shapeId="0" xr:uid="{00000000-0006-0000-0800-0000A7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72" authorId="0" shapeId="0" xr:uid="{00000000-0006-0000-0800-0000A8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73" authorId="0" shapeId="0" xr:uid="{00000000-0006-0000-0800-0000A9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74" authorId="0" shapeId="0" xr:uid="{00000000-0006-0000-0800-0000AA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75" authorId="0" shapeId="0" xr:uid="{00000000-0006-0000-0800-0000AB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76" authorId="0" shapeId="0" xr:uid="{00000000-0006-0000-0800-0000AC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77" authorId="0" shapeId="0" xr:uid="{00000000-0006-0000-0800-0000AD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78" authorId="0" shapeId="0" xr:uid="{00000000-0006-0000-0800-0000AE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79" authorId="0" shapeId="0" xr:uid="{00000000-0006-0000-0800-0000AF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80" authorId="0" shapeId="0" xr:uid="{00000000-0006-0000-0800-0000B0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81" authorId="0" shapeId="0" xr:uid="{00000000-0006-0000-0800-0000B1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82" authorId="0" shapeId="0" xr:uid="{00000000-0006-0000-0800-0000B2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83" authorId="0" shapeId="0" xr:uid="{00000000-0006-0000-0800-0000B3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  <comment ref="K184" authorId="0" shapeId="0" xr:uid="{00000000-0006-0000-0800-0000B4000000}">
      <text>
        <r>
          <rPr>
            <sz val="11"/>
            <color theme="1"/>
            <rFont val="Calibri"/>
            <family val="2"/>
            <scheme val="minor"/>
          </rPr>
          <t>Scenario funding response input. Set to zero in the truth-set baseline.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<sst xmlns="http://schemas.openxmlformats.org/spreadsheetml/2006/main" count="2129" uniqueCount="463">
  <si>
    <t>Clean Truth Set and Calculation Specification</t>
  </si>
  <si>
    <t>Canonical, synthetic financial model for the Monday-Morning Liquidity Problem. Blue text indicates hardcoded assumptions; green text indicates linked inputs; black text indicates formulas.</t>
  </si>
  <si>
    <t>Section</t>
  </si>
  <si>
    <t>Specification</t>
  </si>
  <si>
    <t>Purpose</t>
  </si>
  <si>
    <t>Establish a reconciled financial ground truth before building the Streamlit application or presentation narrative.</t>
  </si>
  <si>
    <t>Valuation date</t>
  </si>
  <si>
    <t>Monday, August 31, 2026.</t>
  </si>
  <si>
    <t>Forecast horizon</t>
  </si>
  <si>
    <t>August 31 through September 9, 2026.</t>
  </si>
  <si>
    <t>Reporting currency</t>
  </si>
  <si>
    <t>USD. Local-currency values are preserved in source tables and translated using approved FX rates.</t>
  </si>
  <si>
    <t>Primary case</t>
  </si>
  <si>
    <t>Gulf Components breaches its $200,000 operating-cash minimum and becomes negative if the Orion Automotive receipt is delayed beyond September 2.</t>
  </si>
  <si>
    <t>Model boundary</t>
  </si>
  <si>
    <t>The workbook calculates balances deterministically. AI may assist with mapping, exception explanation, scenario drafting, and executive narrative, but not with the cash arithmetic.</t>
  </si>
  <si>
    <t>Control principle</t>
  </si>
  <si>
    <t>Material corrections require treasury review. The truth set records accepted treatments separately from raw submissions.</t>
  </si>
  <si>
    <t>Recommended app sequence</t>
  </si>
  <si>
    <t>Ingest messy files; propose mappings and corrections; obtain review decisions; load accepted records; calculate liquidity; run scenarios; generate a controlled CFO briefing.</t>
  </si>
  <si>
    <t>Scenario definitions</t>
  </si>
  <si>
    <t>Reported: Orion receipt September 2. Downside: Orion receipt September 4. Stress: Orion receipt September 8 plus a $90,000 unplanned supplier payment on September 4.</t>
  </si>
  <si>
    <t>Synthetic-data notice</t>
  </si>
  <si>
    <t>All companies, banks, customers, accounts, amounts, policies, and transactions are fictional.</t>
  </si>
  <si>
    <t>Canonical Entities</t>
  </si>
  <si>
    <t>Authoritative entity identifiers, currencies, policy thresholds, and transfer constraints.</t>
  </si>
  <si>
    <t>Entity ID</t>
  </si>
  <si>
    <t>Canonical Entity</t>
  </si>
  <si>
    <t>Currency</t>
  </si>
  <si>
    <t>Min Operating Cash (LCY)</t>
  </si>
  <si>
    <t>Freshness Hours</t>
  </si>
  <si>
    <t>Transfer In</t>
  </si>
  <si>
    <t>Transfer Out</t>
  </si>
  <si>
    <t>Approval Threshold (LCY)</t>
  </si>
  <si>
    <t>E001</t>
  </si>
  <si>
    <t>Meridian Holdings</t>
  </si>
  <si>
    <t>USD</t>
  </si>
  <si>
    <t>Y</t>
  </si>
  <si>
    <t>E002</t>
  </si>
  <si>
    <t>Meridian Manufacturing</t>
  </si>
  <si>
    <t>E003</t>
  </si>
  <si>
    <t>Apex Distribution</t>
  </si>
  <si>
    <t>N</t>
  </si>
  <si>
    <t>E004</t>
  </si>
  <si>
    <t>Gulf Components</t>
  </si>
  <si>
    <t>E005</t>
  </si>
  <si>
    <t>Meridian Canada</t>
  </si>
  <si>
    <t>CAD</t>
  </si>
  <si>
    <t>E006</t>
  </si>
  <si>
    <t>Meridian Europe</t>
  </si>
  <si>
    <t>EUR</t>
  </si>
  <si>
    <t>Accepted Alias Map</t>
  </si>
  <si>
    <t>Mappings approved for normalization. Fuzzy matches outside this table must remain proposed until reviewed.</t>
  </si>
  <si>
    <t>Alias Type</t>
  </si>
  <si>
    <t>Raw Value</t>
  </si>
  <si>
    <t>Canonical Value</t>
  </si>
  <si>
    <t>Entity</t>
  </si>
  <si>
    <t>MERIDIAN HOLDINGS</t>
  </si>
  <si>
    <t>Meridian Mfg</t>
  </si>
  <si>
    <t>Gulf Comp.</t>
  </si>
  <si>
    <t>Apex Dist.</t>
  </si>
  <si>
    <t>Bank</t>
  </si>
  <si>
    <t>First Gulf</t>
  </si>
  <si>
    <t>First Gulf Bank</t>
  </si>
  <si>
    <t>Customer</t>
  </si>
  <si>
    <t>Orion Auto</t>
  </si>
  <si>
    <t>Orion Automotive</t>
  </si>
  <si>
    <t>Vendor</t>
  </si>
  <si>
    <t>Gulf Payroll Svc</t>
  </si>
  <si>
    <t>Gulf Payroll Services</t>
  </si>
  <si>
    <t>US$</t>
  </si>
  <si>
    <t>$</t>
  </si>
  <si>
    <t>Accepted Opening Balances</t>
  </si>
  <si>
    <t>Account-level balances after deduplication, account-master matching, restriction treatment, and unit review.</t>
  </si>
  <si>
    <t>Account ID</t>
  </si>
  <si>
    <t>Account</t>
  </si>
  <si>
    <t>Account Number</t>
  </si>
  <si>
    <t>Ledger Balance (LCY)</t>
  </si>
  <si>
    <t>Available Balance (LCY)</t>
  </si>
  <si>
    <t>Restricted?</t>
  </si>
  <si>
    <t>Accepted Treatment</t>
  </si>
  <si>
    <t>A001</t>
  </si>
  <si>
    <t>Concentration</t>
  </si>
  <si>
    <t>00100442</t>
  </si>
  <si>
    <t>Duplicate removed; canonical record retained</t>
  </si>
  <si>
    <t>A002</t>
  </si>
  <si>
    <t>Operating</t>
  </si>
  <si>
    <t>00004419</t>
  </si>
  <si>
    <t>Account name standardized</t>
  </si>
  <si>
    <t>A003</t>
  </si>
  <si>
    <t>Payroll</t>
  </si>
  <si>
    <t>00004420</t>
  </si>
  <si>
    <t>Entity alias standardized</t>
  </si>
  <si>
    <t>A004</t>
  </si>
  <si>
    <t>Metro Commercial</t>
  </si>
  <si>
    <t>00770011</t>
  </si>
  <si>
    <t>Leading zeros restored</t>
  </si>
  <si>
    <t>A005</t>
  </si>
  <si>
    <t>00770022</t>
  </si>
  <si>
    <t>Negative available balance retained</t>
  </si>
  <si>
    <t>A006</t>
  </si>
  <si>
    <t>Community State</t>
  </si>
  <si>
    <t>Main Checking</t>
  </si>
  <si>
    <t>00890177</t>
  </si>
  <si>
    <t>Stale, retained with warning pending refresh</t>
  </si>
  <si>
    <t>A007</t>
  </si>
  <si>
    <t>00890188</t>
  </si>
  <si>
    <t>A008</t>
  </si>
  <si>
    <t>Northern Bank</t>
  </si>
  <si>
    <t>Operating CAD</t>
  </si>
  <si>
    <t>CA-2041</t>
  </si>
  <si>
    <t>Accepted current account record</t>
  </si>
  <si>
    <t>A009</t>
  </si>
  <si>
    <t>EuroBank</t>
  </si>
  <si>
    <t>Operating EUR</t>
  </si>
  <si>
    <t>EU7788</t>
  </si>
  <si>
    <t>A010</t>
  </si>
  <si>
    <t>Reserve</t>
  </si>
  <si>
    <t>EU7799</t>
  </si>
  <si>
    <t>42,500,000 interpreted as cents after review; excluded from available liquidity</t>
  </si>
  <si>
    <t>Approved FX Rates</t>
  </si>
  <si>
    <t>USD translation rates selected after timestamp, source, convention, and plausibility review.</t>
  </si>
  <si>
    <t>USD per LCY</t>
  </si>
  <si>
    <t>Approved Timestamp</t>
  </si>
  <si>
    <t>Approved Source</t>
  </si>
  <si>
    <t>Status</t>
  </si>
  <si>
    <t>Treatment</t>
  </si>
  <si>
    <t>8/31/2026 6:00 AM</t>
  </si>
  <si>
    <t>Functional currency</t>
  </si>
  <si>
    <t>Approved</t>
  </si>
  <si>
    <t>Identity rate</t>
  </si>
  <si>
    <t>Treasury feed</t>
  </si>
  <si>
    <t>Stale entity rate rejected</t>
  </si>
  <si>
    <t>Incorrect reciprocal and 10x outlier rejected</t>
  </si>
  <si>
    <t>Approved Liquidity Facilities</t>
  </si>
  <si>
    <t>Reconciled capacity with borrower, timing, currency, and operational constraints.</t>
  </si>
  <si>
    <t>Facility ID</t>
  </si>
  <si>
    <t>Facility</t>
  </si>
  <si>
    <t>Borrower Entity ID</t>
  </si>
  <si>
    <t>Commitment</t>
  </si>
  <si>
    <t>Drawn</t>
  </si>
  <si>
    <t>Calculated Available</t>
  </si>
  <si>
    <t>Minimum Draw</t>
  </si>
  <si>
    <t>Notice</t>
  </si>
  <si>
    <t>Constraint</t>
  </si>
  <si>
    <t>F001</t>
  </si>
  <si>
    <t>Senior Revolver</t>
  </si>
  <si>
    <t>Same day before 2 PM</t>
  </si>
  <si>
    <t>Parent borrower only</t>
  </si>
  <si>
    <t>Reported availability accepted after reconciliation</t>
  </si>
  <si>
    <t>F002</t>
  </si>
  <si>
    <t>Local Line</t>
  </si>
  <si>
    <t>1 business day</t>
  </si>
  <si>
    <t>Availability formula applies</t>
  </si>
  <si>
    <t>Reported $100,000 replaced with calculated $50,000</t>
  </si>
  <si>
    <t>F003</t>
  </si>
  <si>
    <t>Overdraft</t>
  </si>
  <si>
    <t>Automatic</t>
  </si>
  <si>
    <t>Temporary facility</t>
  </si>
  <si>
    <t>Accepted; overdraft use triggers escalation</t>
  </si>
  <si>
    <t>F004</t>
  </si>
  <si>
    <t>FX Working Capital</t>
  </si>
  <si>
    <t>2 business days</t>
  </si>
  <si>
    <t>Local entity only</t>
  </si>
  <si>
    <t>Accepted</t>
  </si>
  <si>
    <t>Scenario Assumptions</t>
  </si>
  <si>
    <t>Controlled assumptions used by the liquidity engine. Blue cells are scenario inputs.</t>
  </si>
  <si>
    <t>Scenario</t>
  </si>
  <si>
    <t>Orion Receipt Date</t>
  </si>
  <si>
    <t>Orion Receipt Amount</t>
  </si>
  <si>
    <t>Unplanned Gulf Payment Date</t>
  </si>
  <si>
    <t>Unplanned Gulf Payment Amount</t>
  </si>
  <si>
    <t>Description</t>
  </si>
  <si>
    <t>Scenario ID</t>
  </si>
  <si>
    <t>Reported</t>
  </si>
  <si>
    <t>Submitted receipt timing; no additional shock</t>
  </si>
  <si>
    <t>S1</t>
  </si>
  <si>
    <t>Downside</t>
  </si>
  <si>
    <t>Receipt delayed to Friday</t>
  </si>
  <si>
    <t>S2</t>
  </si>
  <si>
    <t>Stress</t>
  </si>
  <si>
    <t>Receipt delayed to Tuesday plus unplanned supplier payment</t>
  </si>
  <si>
    <t>S3</t>
  </si>
  <si>
    <t>Normalized Cash Flow Ledger</t>
  </si>
  <si>
    <t>Accepted daily cash flows excluding scenario-controlled Orion receipt and funding actions.</t>
  </si>
  <si>
    <t>Date</t>
  </si>
  <si>
    <t>Flow Category</t>
  </si>
  <si>
    <t>Amount (LCY)</t>
  </si>
  <si>
    <t>Confidence</t>
  </si>
  <si>
    <t>Receipt</t>
  </si>
  <si>
    <t>Routine receipts</t>
  </si>
  <si>
    <t>High</t>
  </si>
  <si>
    <t>Disbursement</t>
  </si>
  <si>
    <t>Supplier and other payments</t>
  </si>
  <si>
    <t>Debt service</t>
  </si>
  <si>
    <t>Customer receipts</t>
  </si>
  <si>
    <t>Supplier payments</t>
  </si>
  <si>
    <t>Other payments</t>
  </si>
  <si>
    <t>Benefits payment corrected to outflow</t>
  </si>
  <si>
    <t>Allocated customer receipts</t>
  </si>
  <si>
    <t>Medium</t>
  </si>
  <si>
    <t>Allocated supplier payments</t>
  </si>
  <si>
    <t>Intercompany</t>
  </si>
  <si>
    <t>Intercompany funding reclassified from revenue</t>
  </si>
  <si>
    <t>Normal collections/payments</t>
  </si>
  <si>
    <t>Suppliers</t>
  </si>
  <si>
    <t>Payroll and suppliers</t>
  </si>
  <si>
    <t>Weekly collections/payments</t>
  </si>
  <si>
    <t>Operations</t>
  </si>
  <si>
    <t>Tax and suppliers</t>
  </si>
  <si>
    <t>Customer collections</t>
  </si>
  <si>
    <t>Operating payments</t>
  </si>
  <si>
    <t>Tax payment</t>
  </si>
  <si>
    <t>Bank fee</t>
  </si>
  <si>
    <t>Capital expenditure</t>
  </si>
  <si>
    <t>Daily Liquidity Forecast</t>
  </si>
  <si>
    <t>Formula-driven entity forecast in local currency and USD. Scenario-specific receipt and stress effects are explicit.</t>
  </si>
  <si>
    <t>FX USD/LCY</t>
  </si>
  <si>
    <t>Opening Available (LCY)</t>
  </si>
  <si>
    <t>Ledger Net Flow (LCY)</t>
  </si>
  <si>
    <t>Scenario Receipt (LCY)</t>
  </si>
  <si>
    <t>Stress Payment (LCY)</t>
  </si>
  <si>
    <t>Funding Action (LCY)</t>
  </si>
  <si>
    <t>Ending Available (LCY)</t>
  </si>
  <si>
    <t>Policy Minimum (LCY)</t>
  </si>
  <si>
    <t>Surplus / (Shortfall)</t>
  </si>
  <si>
    <t>Ending Available (USD)</t>
  </si>
  <si>
    <t>Gulf Components Scenario Summary</t>
  </si>
  <si>
    <t>Decision-focused scenario metrics linked to the daily liquidity forecast.</t>
  </si>
  <si>
    <t>Lowest Cash (LCY)</t>
  </si>
  <si>
    <t>Date of Trough</t>
  </si>
  <si>
    <t>Lowest Surplus / (Shortfall)</t>
  </si>
  <si>
    <t>Days Below Minimum</t>
  </si>
  <si>
    <t>Days Negative</t>
  </si>
  <si>
    <t>Local Line Available</t>
  </si>
  <si>
    <t>Unfunded at Trough After Local Line</t>
  </si>
  <si>
    <t>Accepted Treatments and Control Decisions</t>
  </si>
  <si>
    <t>Ground-truth resolution of material issues from the messy-file pack.</t>
  </si>
  <si>
    <t>Issue ID</t>
  </si>
  <si>
    <t>Source File</t>
  </si>
  <si>
    <t>Issue</t>
  </si>
  <si>
    <t>Classification</t>
  </si>
  <si>
    <t>Auto-Safe?</t>
  </si>
  <si>
    <t>Human Review Required?</t>
  </si>
  <si>
    <t>Financial Effect</t>
  </si>
  <si>
    <t>App Test</t>
  </si>
  <si>
    <t>I-001</t>
  </si>
  <si>
    <t>01 bank balances</t>
  </si>
  <si>
    <t>Duplicate Holdings concentration balance</t>
  </si>
  <si>
    <t>Duplicate</t>
  </si>
  <si>
    <t>Retain one canonical record</t>
  </si>
  <si>
    <t>Prevent $2.45m overstatement</t>
  </si>
  <si>
    <t>Detect alias + normalized account match</t>
  </si>
  <si>
    <t>I-002</t>
  </si>
  <si>
    <t>Stale Gulf main-checking balance</t>
  </si>
  <si>
    <t>Stale</t>
  </si>
  <si>
    <t>Retain with prominent warning pending refresh</t>
  </si>
  <si>
    <t>Opening cash uncertainty</t>
  </si>
  <si>
    <t>Compare source age to policy</t>
  </si>
  <si>
    <t>I-003</t>
  </si>
  <si>
    <t>Europe reserve entered as 42,500,000</t>
  </si>
  <si>
    <t>Unit anomaly</t>
  </si>
  <si>
    <t>Accept 425,000 EUR only after review; available amount is zero</t>
  </si>
  <si>
    <t>Prevent massive overstatement</t>
  </si>
  <si>
    <t>Outlier + restricted-account test</t>
  </si>
  <si>
    <t>I-004</t>
  </si>
  <si>
    <t>Unknown Legacy Trust account</t>
  </si>
  <si>
    <t>Unknown account</t>
  </si>
  <si>
    <t>Quarantine; exclude from truth set</t>
  </si>
  <si>
    <t>Exclude unverified $98,000</t>
  </si>
  <si>
    <t>Account-master match</t>
  </si>
  <si>
    <t>I-006</t>
  </si>
  <si>
    <t>02 forecasts</t>
  </si>
  <si>
    <t>Manufacturing payroll omitted</t>
  </si>
  <si>
    <t>Missing flow</t>
  </si>
  <si>
    <t>Do not invent amount; add only verified disbursements</t>
  </si>
  <si>
    <t>Avoid forecast overstatement</t>
  </si>
  <si>
    <t>Required-category completeness</t>
  </si>
  <si>
    <t>I-007</t>
  </si>
  <si>
    <t>Gulf forecast stale</t>
  </si>
  <si>
    <t>Stale forecast</t>
  </si>
  <si>
    <t>Use for scenario demonstration with stale badge</t>
  </si>
  <si>
    <t>Forecast confidence reduced</t>
  </si>
  <si>
    <t>Prepared-time policy test</t>
  </si>
  <si>
    <t>I-008</t>
  </si>
  <si>
    <t>02/03</t>
  </si>
  <si>
    <t>Orion receipt timing optimistic</t>
  </si>
  <si>
    <t>Timing risk</t>
  </si>
  <si>
    <t>Control through scenario assumptions</t>
  </si>
  <si>
    <t>Primary Gulf liquidity driver</t>
  </si>
  <si>
    <t>Compare expected timing with payment behavior</t>
  </si>
  <si>
    <t>I-009</t>
  </si>
  <si>
    <t>Apex intercompany transfer labeled revenue</t>
  </si>
  <si>
    <t>Misclassification</t>
  </si>
  <si>
    <t>Reclassify as intercompany funding</t>
  </si>
  <si>
    <t>Operating cash flow corrected</t>
  </si>
  <si>
    <t>Classification review</t>
  </si>
  <si>
    <t>I-010</t>
  </si>
  <si>
    <t>Europe reserve included in liquidity</t>
  </si>
  <si>
    <t>Restricted cash</t>
  </si>
  <si>
    <t>Exclude reserve from available cash</t>
  </si>
  <si>
    <t>Available cash reduced by 425,000 EUR</t>
  </si>
  <si>
    <t>Policy + account restriction</t>
  </si>
  <si>
    <t>I-011</t>
  </si>
  <si>
    <t>03 AR</t>
  </si>
  <si>
    <t>Duplicate Orion invoice</t>
  </si>
  <si>
    <t>Retain one verified receivable</t>
  </si>
  <si>
    <t>Prevent $620,000 receipt overstatement</t>
  </si>
  <si>
    <t>Invoice + amount + alias match</t>
  </si>
  <si>
    <t>I-012</t>
  </si>
  <si>
    <t>Suncoast expected on holiday</t>
  </si>
  <si>
    <t>Business-day risk</t>
  </si>
  <si>
    <t>Flag for confirmation; not included in controlled Gulf flows</t>
  </si>
  <si>
    <t>Timing uncertainty</t>
  </si>
  <si>
    <t>Business-calendar check</t>
  </si>
  <si>
    <t>I-013</t>
  </si>
  <si>
    <t>04 disbursements</t>
  </si>
  <si>
    <t>Duplicate Gulf payroll</t>
  </si>
  <si>
    <t>Retain one verified $245,000 payment</t>
  </si>
  <si>
    <t>Prevent $245,000 outflow overstatement</t>
  </si>
  <si>
    <t>Reference + date + alias match</t>
  </si>
  <si>
    <t>I-014</t>
  </si>
  <si>
    <t>Benefits payment entered negative</t>
  </si>
  <si>
    <t>Sign anomaly</t>
  </si>
  <si>
    <t>Treat as $95,000 disbursement after review</t>
  </si>
  <si>
    <t>Correct $190,000 directional misstatement</t>
  </si>
  <si>
    <t>Category-sign rule</t>
  </si>
  <si>
    <t>I-015</t>
  </si>
  <si>
    <t>Rapid Freight date is TBD</t>
  </si>
  <si>
    <t>Missing date</t>
  </si>
  <si>
    <t>Hold outside dated forecast as unresolved</t>
  </si>
  <si>
    <t>Timing remains uncertain</t>
  </si>
  <si>
    <t>Valid-date test</t>
  </si>
  <si>
    <t>I-016</t>
  </si>
  <si>
    <t>05 facilities</t>
  </si>
  <si>
    <t>Gulf local-line availability mismatch</t>
  </si>
  <si>
    <t>Reconciliation</t>
  </si>
  <si>
    <t>Calculate $50,000 from commitment less drawn</t>
  </si>
  <si>
    <t>Availability reduced by $50,000</t>
  </si>
  <si>
    <t>Facility reconciliation</t>
  </si>
  <si>
    <t>I-017</t>
  </si>
  <si>
    <t>06 FX</t>
  </si>
  <si>
    <t>USD/EUR quote not reciprocal</t>
  </si>
  <si>
    <t>FX convention</t>
  </si>
  <si>
    <t>Reject row</t>
  </si>
  <si>
    <t>Prevent translation error</t>
  </si>
  <si>
    <t>Reciprocal-consistency test</t>
  </si>
  <si>
    <t>I-018</t>
  </si>
  <si>
    <t>EUR/USD 11.7400</t>
  </si>
  <si>
    <t>FX outlier</t>
  </si>
  <si>
    <t>Quarantine row</t>
  </si>
  <si>
    <t>Prevent 10x translation error</t>
  </si>
  <si>
    <t>Range / peer-rate test</t>
  </si>
  <si>
    <t>Calculation Specification</t>
  </si>
  <si>
    <t>Implementation contract for the app. The calculation engine should reproduce these rules independently of the user interface.</t>
  </si>
  <si>
    <t>Calc ID</t>
  </si>
  <si>
    <t>Metric / Control</t>
  </si>
  <si>
    <t>Formula or Rule</t>
  </si>
  <si>
    <t>Inputs</t>
  </si>
  <si>
    <t>Output Grain</t>
  </si>
  <si>
    <t>Validation Test</t>
  </si>
  <si>
    <t>Owner</t>
  </si>
  <si>
    <t>C-001</t>
  </si>
  <si>
    <t>Canonical entity</t>
  </si>
  <si>
    <t>Map only approved exact aliases; otherwise unresolved</t>
  </si>
  <si>
    <t>Alias Map</t>
  </si>
  <si>
    <t>Record</t>
  </si>
  <si>
    <t>Unknown values remain quarantined</t>
  </si>
  <si>
    <t>Treasury data owner</t>
  </si>
  <si>
    <t>C-002</t>
  </si>
  <si>
    <t>Canonical account number</t>
  </si>
  <si>
    <t>Preserve identifiers as text and restore approved leading zeros through account-master match</t>
  </si>
  <si>
    <t>Raw account + account master</t>
  </si>
  <si>
    <t>No duplicate active account IDs</t>
  </si>
  <si>
    <t>Treasury operations</t>
  </si>
  <si>
    <t>C-003</t>
  </si>
  <si>
    <t>Accepted available balance</t>
  </si>
  <si>
    <t>Use approved available balance; restricted accounts contribute zero</t>
  </si>
  <si>
    <t>Opening Balances</t>
  </si>
  <si>
    <t>Sum by entity reconciles to approved accounts</t>
  </si>
  <si>
    <t>C-004</t>
  </si>
  <si>
    <t>Entity opening cash</t>
  </si>
  <si>
    <t>Sum accepted available balances by entity</t>
  </si>
  <si>
    <t>Entity-date-scenario</t>
  </si>
  <si>
    <t>Opening value is identical across scenarios</t>
  </si>
  <si>
    <t>Treasury analyst</t>
  </si>
  <si>
    <t>C-005</t>
  </si>
  <si>
    <t>Daily ledger net flow</t>
  </si>
  <si>
    <t>Sum normalized receipts, disbursements, and intercompany flows by entity and date</t>
  </si>
  <si>
    <t>Cash Flow Ledger</t>
  </si>
  <si>
    <t>Flow detail sums to daily total</t>
  </si>
  <si>
    <t>C-006</t>
  </si>
  <si>
    <t>Scenario receipt</t>
  </si>
  <si>
    <t>Add Orion receipt only on the scenario-controlled date</t>
  </si>
  <si>
    <t>Gulf-date-scenario</t>
  </si>
  <si>
    <t>Exactly one $620,000 receipt per scenario</t>
  </si>
  <si>
    <t>C-007</t>
  </si>
  <si>
    <t>Stress payment</t>
  </si>
  <si>
    <t>Subtract controlled stress payment only on the specified date</t>
  </si>
  <si>
    <t>Only Stress scenario contains $90,000 shock</t>
  </si>
  <si>
    <t>C-008</t>
  </si>
  <si>
    <t>Ending available cash</t>
  </si>
  <si>
    <t>Opening available + ledger net flow + scenario receipt + stress payment + funding action</t>
  </si>
  <si>
    <t>Liquidity Forecast</t>
  </si>
  <si>
    <t>Prior ending equals next opening</t>
  </si>
  <si>
    <t>C-009</t>
  </si>
  <si>
    <t>Policy surplus / shortfall</t>
  </si>
  <si>
    <t>Ending available cash minus minimum operating cash</t>
  </si>
  <si>
    <t>Entities + Liquidity Forecast</t>
  </si>
  <si>
    <t>Status agrees with sign and minimum</t>
  </si>
  <si>
    <t>Treasury policy owner</t>
  </si>
  <si>
    <t>C-010</t>
  </si>
  <si>
    <t>Negative if ending &lt; 0; Below Minimum if ending &lt; policy minimum; otherwise OK</t>
  </si>
  <si>
    <t>Mutually exclusive status</t>
  </si>
  <si>
    <t>C-011</t>
  </si>
  <si>
    <t>USD translation</t>
  </si>
  <si>
    <t>Ending local-currency cash multiplied by approved USD per LCY</t>
  </si>
  <si>
    <t>Approved FX</t>
  </si>
  <si>
    <t>USD uses one approved rate per currency</t>
  </si>
  <si>
    <t>C-012</t>
  </si>
  <si>
    <t>Facility availability</t>
  </si>
  <si>
    <t>Commitment minus drawn, subject to borrower, notice, currency, and approval constraints</t>
  </si>
  <si>
    <t>Facilities</t>
  </si>
  <si>
    <t>Calculated availability reconciles arithmetically</t>
  </si>
  <si>
    <t>C-013</t>
  </si>
  <si>
    <t>Liquidity trough</t>
  </si>
  <si>
    <t>Minimum ending available cash across forecast dates</t>
  </si>
  <si>
    <t>Entity-scenario</t>
  </si>
  <si>
    <t>Trough date points to matching minimum</t>
  </si>
  <si>
    <t>C-014</t>
  </si>
  <si>
    <t>Unfunded amount</t>
  </si>
  <si>
    <t>Maximum of zero and absolute negative trough less immediately usable local-line availability</t>
  </si>
  <si>
    <t>Scenario Summary + Facilities</t>
  </si>
  <si>
    <t>Cannot be negative</t>
  </si>
  <si>
    <t>C-015</t>
  </si>
  <si>
    <t>Audit trail</t>
  </si>
  <si>
    <t>Retain raw value, proposed value, reviewer decision, timestamp, and note for material changes</t>
  </si>
  <si>
    <t>Exception workflow</t>
  </si>
  <si>
    <t>Exception</t>
  </si>
  <si>
    <t>No material change lacks decision record</t>
  </si>
  <si>
    <t>Control owner</t>
  </si>
  <si>
    <t>Model Checks</t>
  </si>
  <si>
    <t>Control checks expected to equal zero or PASS before the app is considered financially reconciled.</t>
  </si>
  <si>
    <t>Check ID</t>
  </si>
  <si>
    <t>Check</t>
  </si>
  <si>
    <t>Result</t>
  </si>
  <si>
    <t>Expected</t>
  </si>
  <si>
    <t>Q-001</t>
  </si>
  <si>
    <t>Duplicate canonical account IDs</t>
  </si>
  <si>
    <t>Q-002</t>
  </si>
  <si>
    <t>Restricted available balance</t>
  </si>
  <si>
    <t>Q-003</t>
  </si>
  <si>
    <t>Facilities arithmetic differences</t>
  </si>
  <si>
    <t>Q-004</t>
  </si>
  <si>
    <t>Forecast continuity breaks</t>
  </si>
  <si>
    <t>Q-005</t>
  </si>
  <si>
    <t>Gulf reported-scenario Orion receipts</t>
  </si>
  <si>
    <t>Q-006</t>
  </si>
  <si>
    <t>Gulf downside-scenario Orion receipts</t>
  </si>
  <si>
    <t>Q-007</t>
  </si>
  <si>
    <t>Gulf stress-scenario Orion receipts</t>
  </si>
  <si>
    <t>Q-008</t>
  </si>
  <si>
    <t>Stress additional payment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</si>
</sst>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[Red]\(#,##0\);\-"/>
    <numFmt numFmtId="165" formatCode="0.0000\x"/>
    <numFmt numFmtId="167" formatCode="m/d/yy"/>
  </numFmts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rgb="FF666666"/>
      <name val="Calibri"/>
      <family val="2"/>
    </font>
    <font>
      <sz val="11"/>
      <color rgb="FF0000FF"/>
      <name val="Calibri"/>
      <family val="2"/>
    </font>
    <font>
      <sz val="11"/>
      <color rgb="FF008000"/>
      <name val="Calibri"/>
      <family val="2"/>
    </font>
    <font>
      <sz val="11"/>
      <color rgb="FF000000"/>
      <name val="Calibri"/>
      <family val="2"/>
    </font>
    <font>
      <sz val="11"/>
      <color rgb="FF666666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3" borderId="0" xfId="0" applyFont="1" applyFill="1" applyAlignment="1">
      <alignment vertical="center" wrapText="1"/>
    </xf>
    <xf numFmtId="0" fontId="4" fillId="0" borderId="0" xfId="0" applyFont="1"/>
    <xf numFmtId="0" fontId="0" fillId="0" borderId="0" xfId="0" applyAlignment="1">
      <alignment vertical="top" wrapText="1"/>
    </xf>
    <xf numFmtId="0" fontId="5" fillId="0" borderId="0" xfId="0" applyFont="1"/>
    <xf numFmtId="164" fontId="5" fillId="0" borderId="0" xfId="0" applyNumberFormat="1" applyFont="1"/>
    <xf numFmtId="0" fontId="6" fillId="0" borderId="0" xfId="0" applyFont="1"/>
    <xf numFmtId="165" fontId="5" fillId="0" borderId="0" xfId="0" applyNumberFormat="1" applyFont="1"/>
    <xf numFmtId="164" fontId="7" fillId="0" borderId="0" xfId="0" applyNumberFormat="1" applyFont="1"/>
    <xf numFmtId="167" fontId="5" fillId="0" borderId="0" xfId="0" applyNumberFormat="1" applyFont="1"/>
    <xf numFmtId="167" fontId="6" fillId="0" borderId="0" xfId="0" applyNumberFormat="1" applyFont="1"/>
    <xf numFmtId="164" fontId="6" fillId="0" borderId="0" xfId="0" applyNumberFormat="1" applyFont="1"/>
    <xf numFmtId="0" fontId="8" fillId="0" borderId="0" xfId="0" applyFont="1"/>
    <xf numFmtId="165" fontId="0" fillId="0" borderId="0" xfId="0" applyNumberFormat="1"/>
    <xf numFmtId="167" fontId="0" fillId="0" borderId="0" xfId="0" applyNumberFormat="1"/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/>
    <xf numFmtId="0" fontId="2" fillId="0" borderId="0" xfId="0" applyFont="1" applyAlignment="1">
      <alignment wrapText="1"/>
    </xf>
    <xf numFmtId="0" fontId="0" fillId="0" borderId="0" xfId="0"/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5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1524000</xdr:colOff>
      <xdr:row>47</xdr:row>
      <xdr:rowOff>38100</xdr:rowOff>
    </xdr:to>
    <xdr:sp macro="" textlink="">
      <xdr:nvSpPr>
        <xdr:cNvPr id="1073" name="Text Box 49" hidden="1">
          <a:extLst>
            <a:ext uri="{FF2B5EF4-FFF2-40B4-BE49-F238E27FC236}">
              <a16:creationId xmlns:a16="http://schemas.microsoft.com/office/drawing/2014/main" id="{59C18AC7-5A4D-63B8-32AA-3D9720CCF13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190500</xdr:colOff>
      <xdr:row>47</xdr:row>
      <xdr:rowOff>38100</xdr:rowOff>
    </xdr:to>
    <xdr:sp macro="" textlink="">
      <xdr:nvSpPr>
        <xdr:cNvPr id="2076" name="Text Box 28" hidden="1">
          <a:extLst>
            <a:ext uri="{FF2B5EF4-FFF2-40B4-BE49-F238E27FC236}">
              <a16:creationId xmlns:a16="http://schemas.microsoft.com/office/drawing/2014/main" id="{C78AEE9B-E8E6-92CB-3E39-C4CB54CBA8B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1390650</xdr:colOff>
      <xdr:row>47</xdr:row>
      <xdr:rowOff>38100</xdr:rowOff>
    </xdr:to>
    <xdr:sp macro="" textlink="">
      <xdr:nvSpPr>
        <xdr:cNvPr id="3183" name="Text Box 111" hidden="1">
          <a:extLst>
            <a:ext uri="{FF2B5EF4-FFF2-40B4-BE49-F238E27FC236}">
              <a16:creationId xmlns:a16="http://schemas.microsoft.com/office/drawing/2014/main" id="{5F9F7688-2C63-344B-DBE6-6C94629A709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190500</xdr:colOff>
      <xdr:row>47</xdr:row>
      <xdr:rowOff>38100</xdr:rowOff>
    </xdr:to>
    <xdr:sp macro="" textlink="">
      <xdr:nvSpPr>
        <xdr:cNvPr id="4115" name="Text Box 19" hidden="1">
          <a:extLst>
            <a:ext uri="{FF2B5EF4-FFF2-40B4-BE49-F238E27FC236}">
              <a16:creationId xmlns:a16="http://schemas.microsoft.com/office/drawing/2014/main" id="{AF78EC2D-F8F0-5EF9-CA3E-661997BAE33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457200</xdr:colOff>
      <xdr:row>47</xdr:row>
      <xdr:rowOff>38100</xdr:rowOff>
    </xdr:to>
    <xdr:sp macro="" textlink="">
      <xdr:nvSpPr>
        <xdr:cNvPr id="5161" name="Text Box 41" hidden="1">
          <a:extLst>
            <a:ext uri="{FF2B5EF4-FFF2-40B4-BE49-F238E27FC236}">
              <a16:creationId xmlns:a16="http://schemas.microsoft.com/office/drawing/2014/main" id="{19D57168-9B04-5308-CD40-53F900B710E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1657350</xdr:colOff>
      <xdr:row>47</xdr:row>
      <xdr:rowOff>38100</xdr:rowOff>
    </xdr:to>
    <xdr:sp macro="" textlink="">
      <xdr:nvSpPr>
        <xdr:cNvPr id="6166" name="Text Box 22" hidden="1">
          <a:extLst>
            <a:ext uri="{FF2B5EF4-FFF2-40B4-BE49-F238E27FC236}">
              <a16:creationId xmlns:a16="http://schemas.microsoft.com/office/drawing/2014/main" id="{495DBDBF-469B-B298-6CF8-4DF184B9048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190500</xdr:colOff>
      <xdr:row>47</xdr:row>
      <xdr:rowOff>38100</xdr:rowOff>
    </xdr:to>
    <xdr:sp macro="" textlink="">
      <xdr:nvSpPr>
        <xdr:cNvPr id="8217" name="Text Box 1049" hidden="1">
          <a:extLst>
            <a:ext uri="{FF2B5EF4-FFF2-40B4-BE49-F238E27FC236}">
              <a16:creationId xmlns:a16="http://schemas.microsoft.com/office/drawing/2014/main" id="{AAF442E5-7261-E143-7C1D-6D4EF4AF7E7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790575</xdr:colOff>
      <xdr:row>47</xdr:row>
      <xdr:rowOff>38100</xdr:rowOff>
    </xdr:to>
    <xdr:sp macro="" textlink="">
      <xdr:nvSpPr>
        <xdr:cNvPr id="9397" name="Text Box 181" hidden="1">
          <a:extLst>
            <a:ext uri="{FF2B5EF4-FFF2-40B4-BE49-F238E27FC236}">
              <a16:creationId xmlns:a16="http://schemas.microsoft.com/office/drawing/2014/main" id="{00AEACB1-A32D-78C7-7FD9-94FE5557AA0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Entities" displayName="tblEntities" ref="A4:H10">
  <autoFilter ref="A4:H10" xr:uid="{00000000-0009-0000-0100-000001000000}"/>
  <tableColumns count="8">
    <tableColumn id="1" xr3:uid="{00000000-0010-0000-0000-000001000000}" name="Entity ID"/>
    <tableColumn id="2" xr3:uid="{00000000-0010-0000-0000-000002000000}" name="Canonical Entity"/>
    <tableColumn id="3" xr3:uid="{00000000-0010-0000-0000-000003000000}" name="Currency"/>
    <tableColumn id="4" xr3:uid="{00000000-0010-0000-0000-000004000000}" name="Min Operating Cash (LCY)"/>
    <tableColumn id="5" xr3:uid="{00000000-0010-0000-0000-000005000000}" name="Freshness Hours"/>
    <tableColumn id="6" xr3:uid="{00000000-0010-0000-0000-000006000000}" name="Transfer In"/>
    <tableColumn id="7" xr3:uid="{00000000-0010-0000-0000-000007000000}" name="Transfer Out"/>
    <tableColumn id="8" xr3:uid="{00000000-0010-0000-0000-000008000000}" name="Approval Threshold (LCY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Aliases" displayName="tblAliases" ref="A4:C13">
  <autoFilter ref="A4:C13" xr:uid="{00000000-0009-0000-0100-000002000000}"/>
  <tableColumns count="3">
    <tableColumn id="1" xr3:uid="{00000000-0010-0000-0100-000001000000}" name="Alias Type"/>
    <tableColumn id="2" xr3:uid="{00000000-0010-0000-0100-000002000000}" name="Raw Value"/>
    <tableColumn id="3" xr3:uid="{00000000-0010-0000-0100-000003000000}" name="Canonical 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OpeningBalances" displayName="tblOpeningBalances" ref="A4:K14">
  <autoFilter ref="A4:K14" xr:uid="{00000000-0009-0000-0100-000003000000}"/>
  <tableColumns count="11">
    <tableColumn id="1" xr3:uid="{00000000-0010-0000-0200-000001000000}" name="Account ID"/>
    <tableColumn id="2" xr3:uid="{00000000-0010-0000-0200-000002000000}" name="Entity ID"/>
    <tableColumn id="3" xr3:uid="{00000000-0010-0000-0200-000003000000}" name="Entity"/>
    <tableColumn id="4" xr3:uid="{00000000-0010-0000-0200-000004000000}" name="Bank"/>
    <tableColumn id="5" xr3:uid="{00000000-0010-0000-0200-000005000000}" name="Account"/>
    <tableColumn id="6" xr3:uid="{00000000-0010-0000-0200-000006000000}" name="Account Number"/>
    <tableColumn id="7" xr3:uid="{00000000-0010-0000-0200-000007000000}" name="Currency"/>
    <tableColumn id="8" xr3:uid="{00000000-0010-0000-0200-000008000000}" name="Ledger Balance (LCY)"/>
    <tableColumn id="9" xr3:uid="{00000000-0010-0000-0200-000009000000}" name="Available Balance (LCY)"/>
    <tableColumn id="10" xr3:uid="{00000000-0010-0000-0200-00000A000000}" name="Restricted?"/>
    <tableColumn id="11" xr3:uid="{00000000-0010-0000-0200-00000B000000}" name="Accepted Treatme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FX" displayName="tblFX" ref="A4:F7">
  <autoFilter ref="A4:F7" xr:uid="{00000000-0009-0000-0100-000004000000}"/>
  <tableColumns count="6">
    <tableColumn id="1" xr3:uid="{00000000-0010-0000-0300-000001000000}" name="Currency"/>
    <tableColumn id="2" xr3:uid="{00000000-0010-0000-0300-000002000000}" name="USD per LCY"/>
    <tableColumn id="3" xr3:uid="{00000000-0010-0000-0300-000003000000}" name="Approved Timestamp"/>
    <tableColumn id="4" xr3:uid="{00000000-0010-0000-0300-000004000000}" name="Approved Source"/>
    <tableColumn id="5" xr3:uid="{00000000-0010-0000-0300-000005000000}" name="Status"/>
    <tableColumn id="6" xr3:uid="{00000000-0010-0000-0300-000006000000}" name="Treat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Facilities" displayName="tblFacilities" ref="A4:K8">
  <autoFilter ref="A4:K8" xr:uid="{00000000-0009-0000-0100-000005000000}"/>
  <tableColumns count="11">
    <tableColumn id="1" xr3:uid="{00000000-0010-0000-0400-000001000000}" name="Facility ID"/>
    <tableColumn id="2" xr3:uid="{00000000-0010-0000-0400-000002000000}" name="Facility"/>
    <tableColumn id="3" xr3:uid="{00000000-0010-0000-0400-000003000000}" name="Borrower Entity ID"/>
    <tableColumn id="4" xr3:uid="{00000000-0010-0000-0400-000004000000}" name="Currency"/>
    <tableColumn id="5" xr3:uid="{00000000-0010-0000-0400-000005000000}" name="Commitment"/>
    <tableColumn id="6" xr3:uid="{00000000-0010-0000-0400-000006000000}" name="Drawn"/>
    <tableColumn id="7" xr3:uid="{00000000-0010-0000-0400-000007000000}" name="Calculated Available"/>
    <tableColumn id="8" xr3:uid="{00000000-0010-0000-0400-000008000000}" name="Minimum Draw"/>
    <tableColumn id="9" xr3:uid="{00000000-0010-0000-0400-000009000000}" name="Notice"/>
    <tableColumn id="10" xr3:uid="{00000000-0010-0000-0400-00000A000000}" name="Constraint"/>
    <tableColumn id="11" xr3:uid="{00000000-0010-0000-0400-00000B000000}" name="Accepted Treatm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Scenarios" displayName="tblScenarios" ref="A4:G7">
  <autoFilter ref="A4:G7" xr:uid="{00000000-0009-0000-0100-000006000000}"/>
  <tableColumns count="7">
    <tableColumn id="1" xr3:uid="{00000000-0010-0000-0500-000001000000}" name="Scenario"/>
    <tableColumn id="2" xr3:uid="{00000000-0010-0000-0500-000002000000}" name="Orion Receipt Date"/>
    <tableColumn id="3" xr3:uid="{00000000-0010-0000-0500-000003000000}" name="Orion Receipt Amount"/>
    <tableColumn id="4" xr3:uid="{00000000-0010-0000-0500-000004000000}" name="Unplanned Gulf Payment Date"/>
    <tableColumn id="5" xr3:uid="{00000000-0010-0000-0500-000005000000}" name="Unplanned Gulf Payment Amount"/>
    <tableColumn id="6" xr3:uid="{00000000-0010-0000-0500-000006000000}" name="Description"/>
    <tableColumn id="7" xr3:uid="{00000000-0010-0000-0500-000007000000}" name="Scenario I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CashFlows" displayName="tblCashFlows" ref="A4:H135">
  <autoFilter ref="A4:H135" xr:uid="{00000000-0009-0000-0100-000007000000}"/>
  <tableColumns count="8">
    <tableColumn id="1" xr3:uid="{00000000-0010-0000-0600-000001000000}" name="Date"/>
    <tableColumn id="2" xr3:uid="{00000000-0010-0000-0600-000002000000}" name="Entity ID"/>
    <tableColumn id="3" xr3:uid="{00000000-0010-0000-0600-000003000000}" name="Entity"/>
    <tableColumn id="4" xr3:uid="{00000000-0010-0000-0600-000004000000}" name="Currency"/>
    <tableColumn id="5" xr3:uid="{00000000-0010-0000-0600-000005000000}" name="Flow Category"/>
    <tableColumn id="6" xr3:uid="{00000000-0010-0000-0600-000006000000}" name="Description"/>
    <tableColumn id="7" xr3:uid="{00000000-0010-0000-0600-000007000000}" name="Amount (LCY)"/>
    <tableColumn id="8" xr3:uid="{00000000-0010-0000-0600-000008000000}" name="Confiden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LiquidityForecast" displayName="tblLiquidityForecast" ref="A4:P184">
  <autoFilter ref="A4:P184" xr:uid="{00000000-0009-0000-0100-000008000000}"/>
  <tableColumns count="16">
    <tableColumn id="1" xr3:uid="{00000000-0010-0000-0700-000001000000}" name="Scenario"/>
    <tableColumn id="2" xr3:uid="{00000000-0010-0000-0700-000002000000}" name="Date"/>
    <tableColumn id="3" xr3:uid="{00000000-0010-0000-0700-000003000000}" name="Entity ID"/>
    <tableColumn id="4" xr3:uid="{00000000-0010-0000-0700-000004000000}" name="Entity"/>
    <tableColumn id="5" xr3:uid="{00000000-0010-0000-0700-000005000000}" name="Currency"/>
    <tableColumn id="6" xr3:uid="{00000000-0010-0000-0700-000006000000}" name="FX USD/LCY"/>
    <tableColumn id="7" xr3:uid="{00000000-0010-0000-0700-000007000000}" name="Opening Available (LCY)"/>
    <tableColumn id="8" xr3:uid="{00000000-0010-0000-0700-000008000000}" name="Ledger Net Flow (LCY)"/>
    <tableColumn id="9" xr3:uid="{00000000-0010-0000-0700-000009000000}" name="Scenario Receipt (LCY)"/>
    <tableColumn id="10" xr3:uid="{00000000-0010-0000-0700-00000A000000}" name="Stress Payment (LCY)"/>
    <tableColumn id="11" xr3:uid="{00000000-0010-0000-0700-00000B000000}" name="Funding Action (LCY)"/>
    <tableColumn id="12" xr3:uid="{00000000-0010-0000-0700-00000C000000}" name="Ending Available (LCY)"/>
    <tableColumn id="13" xr3:uid="{00000000-0010-0000-0700-00000D000000}" name="Policy Minimum (LCY)"/>
    <tableColumn id="14" xr3:uid="{00000000-0010-0000-0700-00000E000000}" name="Surplus / (Shortfall)"/>
    <tableColumn id="15" xr3:uid="{00000000-0010-0000-0700-00000F000000}" name="Ending Available (USD)"/>
    <tableColumn id="16" xr3:uid="{00000000-0010-0000-0700-000010000000}" name="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ScenarioSummary" displayName="tblScenarioSummary" ref="A4:H7">
  <autoFilter ref="A4:H7" xr:uid="{00000000-0009-0000-0100-000009000000}"/>
  <tableColumns count="8">
    <tableColumn id="1" xr3:uid="{00000000-0010-0000-0800-000001000000}" name="Scenario"/>
    <tableColumn id="2" xr3:uid="{00000000-0010-0000-0800-000002000000}" name="Lowest Cash (LCY)"/>
    <tableColumn id="3" xr3:uid="{00000000-0010-0000-0800-000003000000}" name="Date of Trough"/>
    <tableColumn id="4" xr3:uid="{00000000-0010-0000-0800-000004000000}" name="Lowest Surplus / (Shortfall)"/>
    <tableColumn id="5" xr3:uid="{00000000-0010-0000-0800-000005000000}" name="Days Below Minimum"/>
    <tableColumn id="6" xr3:uid="{00000000-0010-0000-0800-000006000000}" name="Days Negative"/>
    <tableColumn id="7" xr3:uid="{00000000-0010-0000-0800-000007000000}" name="Local Line Available"/>
    <tableColumn id="8" xr3:uid="{00000000-0010-0000-0800-000008000000}" name="Unfunded at Trough After Local Lin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Treatments" displayName="tblTreatments" ref="A4:I21">
  <autoFilter ref="A4:I21" xr:uid="{00000000-0009-0000-0100-00000A000000}"/>
  <tableColumns count="9">
    <tableColumn id="1" xr3:uid="{00000000-0010-0000-0900-000001000000}" name="Issue ID"/>
    <tableColumn id="2" xr3:uid="{00000000-0010-0000-0900-000002000000}" name="Source File"/>
    <tableColumn id="3" xr3:uid="{00000000-0010-0000-0900-000003000000}" name="Issue"/>
    <tableColumn id="4" xr3:uid="{00000000-0010-0000-0900-000004000000}" name="Classification"/>
    <tableColumn id="5" xr3:uid="{00000000-0010-0000-0900-000005000000}" name="Accepted Treatment"/>
    <tableColumn id="6" xr3:uid="{00000000-0010-0000-0900-000006000000}" name="Auto-Safe?"/>
    <tableColumn id="7" xr3:uid="{00000000-0010-0000-0900-000007000000}" name="Human Review Required?"/>
    <tableColumn id="8" xr3:uid="{00000000-0010-0000-0900-000008000000}" name="Financial Effect"/>
    <tableColumn id="9" xr3:uid="{00000000-0010-0000-0900-000009000000}" name="App Tes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CalcSpec" displayName="tblCalcSpec" ref="A4:G19">
  <autoFilter ref="A4:G19" xr:uid="{00000000-0009-0000-0100-00000B000000}"/>
  <tableColumns count="7">
    <tableColumn id="1" xr3:uid="{00000000-0010-0000-0A00-000001000000}" name="Calc ID"/>
    <tableColumn id="2" xr3:uid="{00000000-0010-0000-0A00-000002000000}" name="Metric / Control"/>
    <tableColumn id="3" xr3:uid="{00000000-0010-0000-0A00-000003000000}" name="Formula or Rule"/>
    <tableColumn id="4" xr3:uid="{00000000-0010-0000-0A00-000004000000}" name="Inputs"/>
    <tableColumn id="5" xr3:uid="{00000000-0010-0000-0A00-000005000000}" name="Output Grain"/>
    <tableColumn id="6" xr3:uid="{00000000-0010-0000-0A00-000006000000}" name="Validation Test"/>
    <tableColumn id="7" xr3:uid="{00000000-0010-0000-0A00-000007000000}" name="Owne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ModelChecks" displayName="tblModelChecks" ref="A4:E12">
  <autoFilter ref="A4:E12" xr:uid="{00000000-0009-0000-0100-00000C000000}"/>
  <tableColumns count="5">
    <tableColumn id="1" xr3:uid="{00000000-0010-0000-0B00-000001000000}" name="Check ID"/>
    <tableColumn id="2" xr3:uid="{00000000-0010-0000-0B00-000002000000}" name="Check"/>
    <tableColumn id="3" xr3:uid="{00000000-0010-0000-0B00-000003000000}" name="Result"/>
    <tableColumn id="4" xr3:uid="{00000000-0010-0000-0B00-000004000000}" name="Expected"/>
    <tableColumn id="5" xr3:uid="{00000000-0010-0000-0B00-000005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showGridLines="0" topLeftCell="A2" workbookViewId="0">
      <selection activeCell="B5" sqref="B5"/>
    </sheetView>
  </sheetViews>
  <sheetFormatPr defaultRowHeight="15" x14ac:dyDescent="0.25"/>
  <cols>
    <col min="1" max="2" width="24" customWidth="1"/>
    <col min="3" max="8" width="16" customWidth="1"/>
  </cols>
  <sheetData>
    <row r="1" spans="1:8" ht="26.1" customHeight="1" x14ac:dyDescent="0.25">
      <c r="A1" s="22" t="s">
        <v>0</v>
      </c>
      <c r="B1" s="21"/>
      <c r="C1" s="21"/>
      <c r="D1" s="21"/>
      <c r="E1" s="21"/>
      <c r="F1" s="21"/>
      <c r="G1" s="21"/>
      <c r="H1" s="21"/>
    </row>
    <row r="2" spans="1:8" ht="30" customHeight="1" x14ac:dyDescent="0.25">
      <c r="A2" s="20" t="s">
        <v>1</v>
      </c>
      <c r="B2" s="21"/>
      <c r="C2" s="21"/>
      <c r="D2" s="21"/>
      <c r="E2" s="21"/>
      <c r="F2" s="21"/>
      <c r="G2" s="21"/>
      <c r="H2" s="21"/>
    </row>
    <row r="4" spans="1:8" ht="32.1" customHeight="1" x14ac:dyDescent="0.25">
      <c r="A4" s="1" t="s">
        <v>2</v>
      </c>
      <c r="B4" s="1" t="s">
        <v>3</v>
      </c>
    </row>
    <row r="5" spans="1:8" ht="75" x14ac:dyDescent="0.25">
      <c r="A5" s="2" t="s">
        <v>4</v>
      </c>
      <c r="B5" s="3" t="s">
        <v>5</v>
      </c>
    </row>
    <row r="6" spans="1:8" x14ac:dyDescent="0.25">
      <c r="A6" s="2" t="s">
        <v>6</v>
      </c>
      <c r="B6" s="3" t="s">
        <v>7</v>
      </c>
    </row>
    <row r="7" spans="1:8" ht="30" x14ac:dyDescent="0.25">
      <c r="A7" s="2" t="s">
        <v>8</v>
      </c>
      <c r="B7" s="3" t="s">
        <v>9</v>
      </c>
    </row>
    <row r="8" spans="1:8" ht="75" x14ac:dyDescent="0.25">
      <c r="A8" s="2" t="s">
        <v>10</v>
      </c>
      <c r="B8" s="3" t="s">
        <v>11</v>
      </c>
    </row>
    <row r="9" spans="1:8" ht="105" x14ac:dyDescent="0.25">
      <c r="A9" s="2" t="s">
        <v>12</v>
      </c>
      <c r="B9" s="3" t="s">
        <v>13</v>
      </c>
    </row>
    <row r="10" spans="1:8" ht="135" x14ac:dyDescent="0.25">
      <c r="A10" s="2" t="s">
        <v>14</v>
      </c>
      <c r="B10" s="3" t="s">
        <v>15</v>
      </c>
    </row>
    <row r="11" spans="1:8" ht="90" x14ac:dyDescent="0.25">
      <c r="A11" s="2" t="s">
        <v>16</v>
      </c>
      <c r="B11" s="3" t="s">
        <v>17</v>
      </c>
    </row>
    <row r="12" spans="1:8" ht="120" x14ac:dyDescent="0.25">
      <c r="A12" s="2" t="s">
        <v>18</v>
      </c>
      <c r="B12" s="3" t="s">
        <v>19</v>
      </c>
    </row>
    <row r="13" spans="1:8" ht="120" x14ac:dyDescent="0.25">
      <c r="A13" s="2" t="s">
        <v>20</v>
      </c>
      <c r="B13" s="3" t="s">
        <v>21</v>
      </c>
    </row>
    <row r="14" spans="1:8" ht="60" x14ac:dyDescent="0.25">
      <c r="A14" s="2" t="s">
        <v>22</v>
      </c>
      <c r="B14" s="3" t="s">
        <v>23</v>
      </c>
    </row>
    <row r="15" spans="1:8" x14ac:dyDescent="0.25">
      <c r="B15" s="21"/>
      <c r="C15" s="21"/>
      <c r="D15" s="21"/>
      <c r="E15" s="21"/>
      <c r="F15" s="21"/>
      <c r="G15" s="21"/>
      <c r="H15" s="21"/>
    </row>
  </sheetData>
  <mergeCells count="3">
    <mergeCell ref="A2:H2"/>
    <mergeCell ref="B15:H15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showGridLines="0" workbookViewId="0">
      <selection sqref="A1:H1"/>
    </sheetView>
  </sheetViews>
  <sheetFormatPr defaultRowHeight="15" x14ac:dyDescent="0.25"/>
  <cols>
    <col min="1" max="1" width="12" customWidth="1"/>
    <col min="2" max="2" width="28" customWidth="1"/>
    <col min="3" max="3" width="12" customWidth="1"/>
    <col min="4" max="4" width="24" customWidth="1"/>
    <col min="5" max="5" width="18" customWidth="1"/>
    <col min="6" max="7" width="13" customWidth="1"/>
    <col min="8" max="8" width="24" customWidth="1"/>
  </cols>
  <sheetData>
    <row r="1" spans="1:8" ht="26.1" customHeight="1" x14ac:dyDescent="0.25">
      <c r="A1" s="22" t="s">
        <v>24</v>
      </c>
      <c r="B1" s="21"/>
      <c r="C1" s="21"/>
      <c r="D1" s="21"/>
      <c r="E1" s="21"/>
      <c r="F1" s="21"/>
      <c r="G1" s="21"/>
      <c r="H1" s="21"/>
    </row>
    <row r="2" spans="1:8" ht="30" customHeight="1" x14ac:dyDescent="0.25">
      <c r="A2" s="20" t="s">
        <v>25</v>
      </c>
      <c r="B2" s="21"/>
      <c r="C2" s="21"/>
      <c r="D2" s="21"/>
      <c r="E2" s="21"/>
      <c r="F2" s="21"/>
      <c r="G2" s="21"/>
      <c r="H2" s="21"/>
    </row>
    <row r="4" spans="1:8" ht="32.1" customHeight="1" x14ac:dyDescent="0.25">
      <c r="A4" s="1" t="s">
        <v>26</v>
      </c>
      <c r="B4" s="1" t="s">
        <v>27</v>
      </c>
      <c r="C4" s="1" t="s">
        <v>28</v>
      </c>
      <c r="D4" s="1" t="s">
        <v>29</v>
      </c>
      <c r="E4" s="1" t="s">
        <v>30</v>
      </c>
      <c r="F4" s="1" t="s">
        <v>31</v>
      </c>
      <c r="G4" s="1" t="s">
        <v>32</v>
      </c>
      <c r="H4" s="1" t="s">
        <v>33</v>
      </c>
    </row>
    <row r="5" spans="1:8" x14ac:dyDescent="0.25">
      <c r="A5" s="4" t="s">
        <v>34</v>
      </c>
      <c r="B5" s="4" t="s">
        <v>35</v>
      </c>
      <c r="C5" s="4" t="s">
        <v>36</v>
      </c>
      <c r="D5" s="5">
        <v>750000</v>
      </c>
      <c r="E5" s="4">
        <v>24</v>
      </c>
      <c r="F5" s="4" t="s">
        <v>37</v>
      </c>
      <c r="G5" s="4" t="s">
        <v>37</v>
      </c>
      <c r="H5" s="5">
        <v>500000</v>
      </c>
    </row>
    <row r="6" spans="1:8" x14ac:dyDescent="0.25">
      <c r="A6" s="4" t="s">
        <v>38</v>
      </c>
      <c r="B6" s="4" t="s">
        <v>39</v>
      </c>
      <c r="C6" s="4" t="s">
        <v>36</v>
      </c>
      <c r="D6" s="5">
        <v>500000</v>
      </c>
      <c r="E6" s="4">
        <v>24</v>
      </c>
      <c r="F6" s="4" t="s">
        <v>37</v>
      </c>
      <c r="G6" s="4" t="s">
        <v>37</v>
      </c>
      <c r="H6" s="5">
        <v>250000</v>
      </c>
    </row>
    <row r="7" spans="1:8" x14ac:dyDescent="0.25">
      <c r="A7" s="4" t="s">
        <v>40</v>
      </c>
      <c r="B7" s="4" t="s">
        <v>41</v>
      </c>
      <c r="C7" s="4" t="s">
        <v>36</v>
      </c>
      <c r="D7" s="5">
        <v>150000</v>
      </c>
      <c r="E7" s="4">
        <v>24</v>
      </c>
      <c r="F7" s="4" t="s">
        <v>37</v>
      </c>
      <c r="G7" s="4" t="s">
        <v>42</v>
      </c>
      <c r="H7" s="5">
        <v>100000</v>
      </c>
    </row>
    <row r="8" spans="1:8" x14ac:dyDescent="0.25">
      <c r="A8" s="4" t="s">
        <v>43</v>
      </c>
      <c r="B8" s="4" t="s">
        <v>44</v>
      </c>
      <c r="C8" s="4" t="s">
        <v>36</v>
      </c>
      <c r="D8" s="5">
        <v>200000</v>
      </c>
      <c r="E8" s="4">
        <v>24</v>
      </c>
      <c r="F8" s="4" t="s">
        <v>37</v>
      </c>
      <c r="G8" s="4" t="s">
        <v>42</v>
      </c>
      <c r="H8" s="5">
        <v>100000</v>
      </c>
    </row>
    <row r="9" spans="1:8" x14ac:dyDescent="0.25">
      <c r="A9" s="4" t="s">
        <v>45</v>
      </c>
      <c r="B9" s="4" t="s">
        <v>46</v>
      </c>
      <c r="C9" s="4" t="s">
        <v>47</v>
      </c>
      <c r="D9" s="5">
        <v>300000</v>
      </c>
      <c r="E9" s="4">
        <v>36</v>
      </c>
      <c r="F9" s="4" t="s">
        <v>37</v>
      </c>
      <c r="G9" s="4" t="s">
        <v>42</v>
      </c>
      <c r="H9" s="5">
        <v>150000</v>
      </c>
    </row>
    <row r="10" spans="1:8" x14ac:dyDescent="0.25">
      <c r="A10" s="4" t="s">
        <v>48</v>
      </c>
      <c r="B10" s="4" t="s">
        <v>49</v>
      </c>
      <c r="C10" s="4" t="s">
        <v>50</v>
      </c>
      <c r="D10" s="5">
        <v>400000</v>
      </c>
      <c r="E10" s="4">
        <v>36</v>
      </c>
      <c r="F10" s="4" t="s">
        <v>37</v>
      </c>
      <c r="G10" s="4" t="s">
        <v>42</v>
      </c>
      <c r="H10" s="5">
        <v>200000</v>
      </c>
    </row>
  </sheetData>
  <mergeCells count="2">
    <mergeCell ref="A2:H2"/>
    <mergeCell ref="A1:H1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showGridLines="0" workbookViewId="0">
      <selection sqref="A1:C1"/>
    </sheetView>
  </sheetViews>
  <sheetFormatPr defaultRowHeight="15" x14ac:dyDescent="0.25"/>
  <cols>
    <col min="1" max="1" width="16" customWidth="1"/>
    <col min="2" max="2" width="28" customWidth="1"/>
    <col min="3" max="3" width="32" customWidth="1"/>
  </cols>
  <sheetData>
    <row r="1" spans="1:3" ht="26.1" customHeight="1" x14ac:dyDescent="0.25">
      <c r="A1" s="22" t="s">
        <v>51</v>
      </c>
      <c r="B1" s="21"/>
      <c r="C1" s="21"/>
    </row>
    <row r="2" spans="1:3" ht="30" customHeight="1" x14ac:dyDescent="0.25">
      <c r="A2" s="20" t="s">
        <v>52</v>
      </c>
      <c r="B2" s="21"/>
      <c r="C2" s="21"/>
    </row>
    <row r="4" spans="1:3" ht="32.1" customHeight="1" x14ac:dyDescent="0.25">
      <c r="A4" s="1" t="s">
        <v>53</v>
      </c>
      <c r="B4" s="1" t="s">
        <v>54</v>
      </c>
      <c r="C4" s="1" t="s">
        <v>55</v>
      </c>
    </row>
    <row r="5" spans="1:3" x14ac:dyDescent="0.25">
      <c r="A5" s="4" t="s">
        <v>56</v>
      </c>
      <c r="B5" s="4" t="s">
        <v>57</v>
      </c>
      <c r="C5" s="4" t="s">
        <v>35</v>
      </c>
    </row>
    <row r="6" spans="1:3" x14ac:dyDescent="0.25">
      <c r="A6" s="4" t="s">
        <v>56</v>
      </c>
      <c r="B6" s="4" t="s">
        <v>58</v>
      </c>
      <c r="C6" s="4" t="s">
        <v>39</v>
      </c>
    </row>
    <row r="7" spans="1:3" x14ac:dyDescent="0.25">
      <c r="A7" s="4" t="s">
        <v>56</v>
      </c>
      <c r="B7" s="4" t="s">
        <v>59</v>
      </c>
      <c r="C7" s="4" t="s">
        <v>44</v>
      </c>
    </row>
    <row r="8" spans="1:3" x14ac:dyDescent="0.25">
      <c r="A8" s="4" t="s">
        <v>56</v>
      </c>
      <c r="B8" s="4" t="s">
        <v>60</v>
      </c>
      <c r="C8" s="4" t="s">
        <v>41</v>
      </c>
    </row>
    <row r="9" spans="1:3" x14ac:dyDescent="0.25">
      <c r="A9" s="4" t="s">
        <v>61</v>
      </c>
      <c r="B9" s="4" t="s">
        <v>62</v>
      </c>
      <c r="C9" s="4" t="s">
        <v>63</v>
      </c>
    </row>
    <row r="10" spans="1:3" x14ac:dyDescent="0.25">
      <c r="A10" s="4" t="s">
        <v>64</v>
      </c>
      <c r="B10" s="4" t="s">
        <v>65</v>
      </c>
      <c r="C10" s="4" t="s">
        <v>66</v>
      </c>
    </row>
    <row r="11" spans="1:3" x14ac:dyDescent="0.25">
      <c r="A11" s="4" t="s">
        <v>67</v>
      </c>
      <c r="B11" s="4" t="s">
        <v>68</v>
      </c>
      <c r="C11" s="4" t="s">
        <v>69</v>
      </c>
    </row>
    <row r="12" spans="1:3" x14ac:dyDescent="0.25">
      <c r="A12" s="4" t="s">
        <v>28</v>
      </c>
      <c r="B12" s="4" t="s">
        <v>70</v>
      </c>
      <c r="C12" s="4" t="s">
        <v>36</v>
      </c>
    </row>
    <row r="13" spans="1:3" x14ac:dyDescent="0.25">
      <c r="A13" s="4" t="s">
        <v>28</v>
      </c>
      <c r="B13" s="4" t="s">
        <v>71</v>
      </c>
      <c r="C13" s="4" t="s">
        <v>36</v>
      </c>
    </row>
  </sheetData>
  <mergeCells count="2">
    <mergeCell ref="A1:C1"/>
    <mergeCell ref="A2:C2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showGridLines="0" workbookViewId="0">
      <selection sqref="A1:K1"/>
    </sheetView>
  </sheetViews>
  <sheetFormatPr defaultRowHeight="15" x14ac:dyDescent="0.25"/>
  <cols>
    <col min="1" max="1" width="12" customWidth="1"/>
    <col min="2" max="2" width="10" customWidth="1"/>
    <col min="3" max="3" width="26" customWidth="1"/>
    <col min="4" max="5" width="22" customWidth="1"/>
    <col min="6" max="6" width="18" customWidth="1"/>
    <col min="7" max="7" width="12" customWidth="1"/>
    <col min="8" max="8" width="22" customWidth="1"/>
    <col min="9" max="9" width="24" customWidth="1"/>
    <col min="10" max="10" width="14" customWidth="1"/>
    <col min="11" max="11" width="48" customWidth="1"/>
  </cols>
  <sheetData>
    <row r="1" spans="1:11" ht="26.1" customHeight="1" x14ac:dyDescent="0.25">
      <c r="A1" s="22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 ht="30" customHeight="1" x14ac:dyDescent="0.25">
      <c r="A2" s="20" t="s">
        <v>73</v>
      </c>
      <c r="B2" s="21"/>
      <c r="C2" s="21"/>
      <c r="D2" s="21"/>
      <c r="E2" s="21"/>
      <c r="F2" s="21"/>
      <c r="G2" s="21"/>
      <c r="H2" s="21"/>
      <c r="I2" s="21"/>
      <c r="J2" s="21"/>
      <c r="K2" s="21"/>
    </row>
    <row r="4" spans="1:11" ht="32.1" customHeight="1" x14ac:dyDescent="0.25">
      <c r="A4" s="1" t="s">
        <v>74</v>
      </c>
      <c r="B4" s="1" t="s">
        <v>26</v>
      </c>
      <c r="C4" s="1" t="s">
        <v>56</v>
      </c>
      <c r="D4" s="1" t="s">
        <v>61</v>
      </c>
      <c r="E4" s="1" t="s">
        <v>75</v>
      </c>
      <c r="F4" s="1" t="s">
        <v>76</v>
      </c>
      <c r="G4" s="1" t="s">
        <v>28</v>
      </c>
      <c r="H4" s="1" t="s">
        <v>77</v>
      </c>
      <c r="I4" s="1" t="s">
        <v>78</v>
      </c>
      <c r="J4" s="1" t="s">
        <v>79</v>
      </c>
      <c r="K4" s="1" t="s">
        <v>80</v>
      </c>
    </row>
    <row r="5" spans="1:11" x14ac:dyDescent="0.25">
      <c r="A5" s="4" t="s">
        <v>81</v>
      </c>
      <c r="B5" s="4" t="s">
        <v>34</v>
      </c>
      <c r="C5" s="6" t="s">
        <v>35</v>
      </c>
      <c r="D5" s="6" t="s">
        <v>63</v>
      </c>
      <c r="E5" s="6" t="s">
        <v>82</v>
      </c>
      <c r="F5" s="4" t="s">
        <v>83</v>
      </c>
      <c r="G5" s="6" t="s">
        <v>36</v>
      </c>
      <c r="H5" s="5">
        <v>2450000</v>
      </c>
      <c r="I5" s="5">
        <v>2400000</v>
      </c>
      <c r="J5" s="4" t="s">
        <v>42</v>
      </c>
      <c r="K5" s="6" t="s">
        <v>84</v>
      </c>
    </row>
    <row r="6" spans="1:11" x14ac:dyDescent="0.25">
      <c r="A6" s="4" t="s">
        <v>85</v>
      </c>
      <c r="B6" s="4" t="s">
        <v>38</v>
      </c>
      <c r="C6" s="6" t="s">
        <v>39</v>
      </c>
      <c r="D6" s="6" t="s">
        <v>63</v>
      </c>
      <c r="E6" s="6" t="s">
        <v>86</v>
      </c>
      <c r="F6" s="4" t="s">
        <v>87</v>
      </c>
      <c r="G6" s="6" t="s">
        <v>36</v>
      </c>
      <c r="H6" s="5">
        <v>1284500</v>
      </c>
      <c r="I6" s="5">
        <v>1260000</v>
      </c>
      <c r="J6" s="4" t="s">
        <v>42</v>
      </c>
      <c r="K6" s="6" t="s">
        <v>88</v>
      </c>
    </row>
    <row r="7" spans="1:11" x14ac:dyDescent="0.25">
      <c r="A7" s="4" t="s">
        <v>89</v>
      </c>
      <c r="B7" s="4" t="s">
        <v>38</v>
      </c>
      <c r="C7" s="6" t="s">
        <v>39</v>
      </c>
      <c r="D7" s="6" t="s">
        <v>63</v>
      </c>
      <c r="E7" s="6" t="s">
        <v>90</v>
      </c>
      <c r="F7" s="4" t="s">
        <v>91</v>
      </c>
      <c r="G7" s="6" t="s">
        <v>36</v>
      </c>
      <c r="H7" s="5">
        <v>326000</v>
      </c>
      <c r="I7" s="5">
        <v>321000</v>
      </c>
      <c r="J7" s="4" t="s">
        <v>42</v>
      </c>
      <c r="K7" s="6" t="s">
        <v>92</v>
      </c>
    </row>
    <row r="8" spans="1:11" x14ac:dyDescent="0.25">
      <c r="A8" s="4" t="s">
        <v>93</v>
      </c>
      <c r="B8" s="4" t="s">
        <v>40</v>
      </c>
      <c r="C8" s="6" t="s">
        <v>41</v>
      </c>
      <c r="D8" s="6" t="s">
        <v>94</v>
      </c>
      <c r="E8" s="6" t="s">
        <v>86</v>
      </c>
      <c r="F8" s="4" t="s">
        <v>95</v>
      </c>
      <c r="G8" s="6" t="s">
        <v>36</v>
      </c>
      <c r="H8" s="5">
        <v>608500</v>
      </c>
      <c r="I8" s="5">
        <v>603500</v>
      </c>
      <c r="J8" s="4" t="s">
        <v>42</v>
      </c>
      <c r="K8" s="6" t="s">
        <v>96</v>
      </c>
    </row>
    <row r="9" spans="1:11" x14ac:dyDescent="0.25">
      <c r="A9" s="4" t="s">
        <v>97</v>
      </c>
      <c r="B9" s="4" t="s">
        <v>40</v>
      </c>
      <c r="C9" s="6" t="s">
        <v>41</v>
      </c>
      <c r="D9" s="6" t="s">
        <v>94</v>
      </c>
      <c r="E9" s="6" t="s">
        <v>90</v>
      </c>
      <c r="F9" s="4" t="s">
        <v>98</v>
      </c>
      <c r="G9" s="6" t="s">
        <v>36</v>
      </c>
      <c r="H9" s="5">
        <v>-42750</v>
      </c>
      <c r="I9" s="5">
        <v>-47750</v>
      </c>
      <c r="J9" s="4" t="s">
        <v>42</v>
      </c>
      <c r="K9" s="6" t="s">
        <v>99</v>
      </c>
    </row>
    <row r="10" spans="1:11" x14ac:dyDescent="0.25">
      <c r="A10" s="4" t="s">
        <v>100</v>
      </c>
      <c r="B10" s="4" t="s">
        <v>43</v>
      </c>
      <c r="C10" s="6" t="s">
        <v>44</v>
      </c>
      <c r="D10" s="6" t="s">
        <v>101</v>
      </c>
      <c r="E10" s="6" t="s">
        <v>102</v>
      </c>
      <c r="F10" s="4" t="s">
        <v>103</v>
      </c>
      <c r="G10" s="6" t="s">
        <v>36</v>
      </c>
      <c r="H10" s="5">
        <v>184200</v>
      </c>
      <c r="I10" s="5">
        <v>179200</v>
      </c>
      <c r="J10" s="4" t="s">
        <v>42</v>
      </c>
      <c r="K10" s="6" t="s">
        <v>104</v>
      </c>
    </row>
    <row r="11" spans="1:11" x14ac:dyDescent="0.25">
      <c r="A11" s="4" t="s">
        <v>105</v>
      </c>
      <c r="B11" s="4" t="s">
        <v>43</v>
      </c>
      <c r="C11" s="6" t="s">
        <v>44</v>
      </c>
      <c r="D11" s="6" t="s">
        <v>101</v>
      </c>
      <c r="E11" s="6" t="s">
        <v>90</v>
      </c>
      <c r="F11" s="4" t="s">
        <v>106</v>
      </c>
      <c r="G11" s="6" t="s">
        <v>36</v>
      </c>
      <c r="H11" s="5">
        <v>56200</v>
      </c>
      <c r="I11" s="5">
        <v>51200</v>
      </c>
      <c r="J11" s="4" t="s">
        <v>42</v>
      </c>
      <c r="K11" s="6" t="s">
        <v>96</v>
      </c>
    </row>
    <row r="12" spans="1:11" x14ac:dyDescent="0.25">
      <c r="A12" s="4" t="s">
        <v>107</v>
      </c>
      <c r="B12" s="4" t="s">
        <v>45</v>
      </c>
      <c r="C12" s="6" t="s">
        <v>46</v>
      </c>
      <c r="D12" s="6" t="s">
        <v>108</v>
      </c>
      <c r="E12" s="6" t="s">
        <v>109</v>
      </c>
      <c r="F12" s="4" t="s">
        <v>110</v>
      </c>
      <c r="G12" s="6" t="s">
        <v>47</v>
      </c>
      <c r="H12" s="5">
        <v>940000</v>
      </c>
      <c r="I12" s="5">
        <v>925000</v>
      </c>
      <c r="J12" s="4" t="s">
        <v>42</v>
      </c>
      <c r="K12" s="6" t="s">
        <v>111</v>
      </c>
    </row>
    <row r="13" spans="1:11" x14ac:dyDescent="0.25">
      <c r="A13" s="4" t="s">
        <v>112</v>
      </c>
      <c r="B13" s="4" t="s">
        <v>48</v>
      </c>
      <c r="C13" s="6" t="s">
        <v>49</v>
      </c>
      <c r="D13" s="6" t="s">
        <v>113</v>
      </c>
      <c r="E13" s="6" t="s">
        <v>114</v>
      </c>
      <c r="F13" s="4" t="s">
        <v>115</v>
      </c>
      <c r="G13" s="6" t="s">
        <v>50</v>
      </c>
      <c r="H13" s="5">
        <v>735000</v>
      </c>
      <c r="I13" s="5">
        <v>725000</v>
      </c>
      <c r="J13" s="4" t="s">
        <v>42</v>
      </c>
      <c r="K13" s="6" t="s">
        <v>111</v>
      </c>
    </row>
    <row r="14" spans="1:11" x14ac:dyDescent="0.25">
      <c r="A14" s="4" t="s">
        <v>116</v>
      </c>
      <c r="B14" s="4" t="s">
        <v>48</v>
      </c>
      <c r="C14" s="6" t="s">
        <v>49</v>
      </c>
      <c r="D14" s="6" t="s">
        <v>113</v>
      </c>
      <c r="E14" s="6" t="s">
        <v>117</v>
      </c>
      <c r="F14" s="4" t="s">
        <v>118</v>
      </c>
      <c r="G14" s="6" t="s">
        <v>50</v>
      </c>
      <c r="H14" s="5">
        <v>425000</v>
      </c>
      <c r="I14" s="5">
        <v>0</v>
      </c>
      <c r="J14" s="4" t="s">
        <v>37</v>
      </c>
      <c r="K14" s="6" t="s">
        <v>119</v>
      </c>
    </row>
  </sheetData>
  <mergeCells count="2">
    <mergeCell ref="A2:K2"/>
    <mergeCell ref="A1:K1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showGridLines="0" workbookViewId="0">
      <selection sqref="A1:F1"/>
    </sheetView>
  </sheetViews>
  <sheetFormatPr defaultRowHeight="15" x14ac:dyDescent="0.25"/>
  <cols>
    <col min="1" max="1" width="14" customWidth="1"/>
    <col min="2" max="2" width="16" customWidth="1"/>
    <col min="3" max="3" width="24" customWidth="1"/>
    <col min="4" max="4" width="20" customWidth="1"/>
    <col min="5" max="5" width="14" customWidth="1"/>
    <col min="6" max="6" width="52" customWidth="1"/>
  </cols>
  <sheetData>
    <row r="1" spans="1:6" ht="26.1" customHeight="1" x14ac:dyDescent="0.25">
      <c r="A1" s="22" t="s">
        <v>120</v>
      </c>
      <c r="B1" s="21"/>
      <c r="C1" s="21"/>
      <c r="D1" s="21"/>
      <c r="E1" s="21"/>
      <c r="F1" s="21"/>
    </row>
    <row r="2" spans="1:6" ht="30" customHeight="1" x14ac:dyDescent="0.25">
      <c r="A2" s="20" t="s">
        <v>121</v>
      </c>
      <c r="B2" s="21"/>
      <c r="C2" s="21"/>
      <c r="D2" s="21"/>
      <c r="E2" s="21"/>
      <c r="F2" s="21"/>
    </row>
    <row r="4" spans="1:6" ht="32.1" customHeight="1" x14ac:dyDescent="0.25">
      <c r="A4" s="1" t="s">
        <v>28</v>
      </c>
      <c r="B4" s="1" t="s">
        <v>122</v>
      </c>
      <c r="C4" s="1" t="s">
        <v>123</v>
      </c>
      <c r="D4" s="1" t="s">
        <v>124</v>
      </c>
      <c r="E4" s="1" t="s">
        <v>125</v>
      </c>
      <c r="F4" s="1" t="s">
        <v>126</v>
      </c>
    </row>
    <row r="5" spans="1:6" x14ac:dyDescent="0.25">
      <c r="A5" s="4" t="s">
        <v>36</v>
      </c>
      <c r="B5" s="7">
        <v>1</v>
      </c>
      <c r="C5" s="4" t="s">
        <v>127</v>
      </c>
      <c r="D5" s="4" t="s">
        <v>128</v>
      </c>
      <c r="E5" s="4" t="s">
        <v>129</v>
      </c>
      <c r="F5" s="4" t="s">
        <v>130</v>
      </c>
    </row>
    <row r="6" spans="1:6" x14ac:dyDescent="0.25">
      <c r="A6" s="4" t="s">
        <v>47</v>
      </c>
      <c r="B6" s="7">
        <v>0.73650000000000004</v>
      </c>
      <c r="C6" s="4" t="s">
        <v>127</v>
      </c>
      <c r="D6" s="4" t="s">
        <v>131</v>
      </c>
      <c r="E6" s="4" t="s">
        <v>129</v>
      </c>
      <c r="F6" s="4" t="s">
        <v>132</v>
      </c>
    </row>
    <row r="7" spans="1:6" x14ac:dyDescent="0.25">
      <c r="A7" s="4" t="s">
        <v>50</v>
      </c>
      <c r="B7" s="7">
        <v>1.1739999999999999</v>
      </c>
      <c r="C7" s="4" t="s">
        <v>127</v>
      </c>
      <c r="D7" s="4" t="s">
        <v>131</v>
      </c>
      <c r="E7" s="4" t="s">
        <v>129</v>
      </c>
      <c r="F7" s="4" t="s">
        <v>133</v>
      </c>
    </row>
  </sheetData>
  <mergeCells count="2">
    <mergeCell ref="A2:F2"/>
    <mergeCell ref="A1:F1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8"/>
  <sheetViews>
    <sheetView showGridLines="0" workbookViewId="0">
      <selection sqref="A1:K1"/>
    </sheetView>
  </sheetViews>
  <sheetFormatPr defaultRowHeight="15" x14ac:dyDescent="0.25"/>
  <cols>
    <col min="1" max="1" width="12" customWidth="1"/>
    <col min="2" max="2" width="24" customWidth="1"/>
    <col min="3" max="3" width="20" customWidth="1"/>
    <col min="4" max="4" width="12" customWidth="1"/>
    <col min="5" max="6" width="16" customWidth="1"/>
    <col min="7" max="7" width="20" customWidth="1"/>
    <col min="8" max="8" width="16" customWidth="1"/>
    <col min="9" max="9" width="24" customWidth="1"/>
    <col min="10" max="10" width="28" customWidth="1"/>
    <col min="11" max="11" width="48" customWidth="1"/>
  </cols>
  <sheetData>
    <row r="1" spans="1:11" ht="26.1" customHeight="1" x14ac:dyDescent="0.25">
      <c r="A1" s="22" t="s">
        <v>134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 ht="30" customHeight="1" x14ac:dyDescent="0.25">
      <c r="A2" s="20" t="s">
        <v>135</v>
      </c>
      <c r="B2" s="21"/>
      <c r="C2" s="21"/>
      <c r="D2" s="21"/>
      <c r="E2" s="21"/>
      <c r="F2" s="21"/>
      <c r="G2" s="21"/>
      <c r="H2" s="21"/>
      <c r="I2" s="21"/>
      <c r="J2" s="21"/>
      <c r="K2" s="21"/>
    </row>
    <row r="4" spans="1:11" ht="32.1" customHeight="1" x14ac:dyDescent="0.25">
      <c r="A4" s="1" t="s">
        <v>136</v>
      </c>
      <c r="B4" s="1" t="s">
        <v>137</v>
      </c>
      <c r="C4" s="1" t="s">
        <v>138</v>
      </c>
      <c r="D4" s="1" t="s">
        <v>28</v>
      </c>
      <c r="E4" s="1" t="s">
        <v>139</v>
      </c>
      <c r="F4" s="1" t="s">
        <v>140</v>
      </c>
      <c r="G4" s="1" t="s">
        <v>141</v>
      </c>
      <c r="H4" s="1" t="s">
        <v>142</v>
      </c>
      <c r="I4" s="1" t="s">
        <v>143</v>
      </c>
      <c r="J4" s="1" t="s">
        <v>144</v>
      </c>
      <c r="K4" s="1" t="s">
        <v>80</v>
      </c>
    </row>
    <row r="5" spans="1:11" x14ac:dyDescent="0.25">
      <c r="A5" s="4" t="s">
        <v>145</v>
      </c>
      <c r="B5" s="4" t="s">
        <v>146</v>
      </c>
      <c r="C5" s="4" t="s">
        <v>34</v>
      </c>
      <c r="D5" s="4" t="s">
        <v>36</v>
      </c>
      <c r="E5" s="5">
        <v>5000000</v>
      </c>
      <c r="F5" s="5">
        <v>1850000</v>
      </c>
      <c r="G5" s="8">
        <f>E5-F5</f>
        <v>3150000</v>
      </c>
      <c r="H5" s="5">
        <v>250000</v>
      </c>
      <c r="I5" s="4" t="s">
        <v>147</v>
      </c>
      <c r="J5" s="4" t="s">
        <v>148</v>
      </c>
      <c r="K5" s="4" t="s">
        <v>149</v>
      </c>
    </row>
    <row r="6" spans="1:11" x14ac:dyDescent="0.25">
      <c r="A6" s="4" t="s">
        <v>150</v>
      </c>
      <c r="B6" s="4" t="s">
        <v>151</v>
      </c>
      <c r="C6" s="4" t="s">
        <v>43</v>
      </c>
      <c r="D6" s="4" t="s">
        <v>36</v>
      </c>
      <c r="E6" s="5">
        <v>500000</v>
      </c>
      <c r="F6" s="5">
        <v>450000</v>
      </c>
      <c r="G6" s="8">
        <f>E6-F6</f>
        <v>50000</v>
      </c>
      <c r="H6" s="5">
        <v>50000</v>
      </c>
      <c r="I6" s="4" t="s">
        <v>152</v>
      </c>
      <c r="J6" s="4" t="s">
        <v>153</v>
      </c>
      <c r="K6" s="4" t="s">
        <v>154</v>
      </c>
    </row>
    <row r="7" spans="1:11" x14ac:dyDescent="0.25">
      <c r="A7" s="4" t="s">
        <v>155</v>
      </c>
      <c r="B7" s="4" t="s">
        <v>156</v>
      </c>
      <c r="C7" s="4" t="s">
        <v>40</v>
      </c>
      <c r="D7" s="4" t="s">
        <v>36</v>
      </c>
      <c r="E7" s="5">
        <v>250000</v>
      </c>
      <c r="F7" s="5">
        <v>42750</v>
      </c>
      <c r="G7" s="8">
        <f>E7-F7</f>
        <v>207250</v>
      </c>
      <c r="H7" s="5">
        <v>10000</v>
      </c>
      <c r="I7" s="4" t="s">
        <v>157</v>
      </c>
      <c r="J7" s="4" t="s">
        <v>158</v>
      </c>
      <c r="K7" s="4" t="s">
        <v>159</v>
      </c>
    </row>
    <row r="8" spans="1:11" x14ac:dyDescent="0.25">
      <c r="A8" s="4" t="s">
        <v>160</v>
      </c>
      <c r="B8" s="4" t="s">
        <v>161</v>
      </c>
      <c r="C8" s="4" t="s">
        <v>48</v>
      </c>
      <c r="D8" s="4" t="s">
        <v>50</v>
      </c>
      <c r="E8" s="5">
        <v>750000</v>
      </c>
      <c r="F8" s="5">
        <v>0</v>
      </c>
      <c r="G8" s="8">
        <f>E8-F8</f>
        <v>750000</v>
      </c>
      <c r="H8" s="5">
        <v>100000</v>
      </c>
      <c r="I8" s="4" t="s">
        <v>162</v>
      </c>
      <c r="J8" s="4" t="s">
        <v>163</v>
      </c>
      <c r="K8" s="4" t="s">
        <v>164</v>
      </c>
    </row>
  </sheetData>
  <mergeCells count="2">
    <mergeCell ref="A2:K2"/>
    <mergeCell ref="A1:K1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sqref="A1:G1"/>
    </sheetView>
  </sheetViews>
  <sheetFormatPr defaultRowHeight="15" x14ac:dyDescent="0.25"/>
  <cols>
    <col min="1" max="1" width="16" customWidth="1"/>
    <col min="2" max="3" width="22" customWidth="1"/>
    <col min="4" max="4" width="28" customWidth="1"/>
    <col min="5" max="5" width="30" customWidth="1"/>
    <col min="6" max="6" width="48" customWidth="1"/>
    <col min="7" max="7" width="14" customWidth="1"/>
  </cols>
  <sheetData>
    <row r="1" spans="1:7" ht="26.1" customHeight="1" x14ac:dyDescent="0.25">
      <c r="A1" s="22" t="s">
        <v>165</v>
      </c>
      <c r="B1" s="21"/>
      <c r="C1" s="21"/>
      <c r="D1" s="21"/>
      <c r="E1" s="21"/>
      <c r="F1" s="21"/>
      <c r="G1" s="21"/>
    </row>
    <row r="2" spans="1:7" ht="30" customHeight="1" x14ac:dyDescent="0.25">
      <c r="A2" s="20" t="s">
        <v>166</v>
      </c>
      <c r="B2" s="21"/>
      <c r="C2" s="21"/>
      <c r="D2" s="21"/>
      <c r="E2" s="21"/>
      <c r="F2" s="21"/>
      <c r="G2" s="21"/>
    </row>
    <row r="4" spans="1:7" ht="32.1" customHeight="1" x14ac:dyDescent="0.25">
      <c r="A4" s="1" t="s">
        <v>167</v>
      </c>
      <c r="B4" s="1" t="s">
        <v>168</v>
      </c>
      <c r="C4" s="1" t="s">
        <v>169</v>
      </c>
      <c r="D4" s="1" t="s">
        <v>170</v>
      </c>
      <c r="E4" s="1" t="s">
        <v>171</v>
      </c>
      <c r="F4" s="1" t="s">
        <v>172</v>
      </c>
      <c r="G4" s="1" t="s">
        <v>173</v>
      </c>
    </row>
    <row r="5" spans="1:7" x14ac:dyDescent="0.25">
      <c r="A5" s="4" t="s">
        <v>174</v>
      </c>
      <c r="B5" s="9">
        <v>46267</v>
      </c>
      <c r="C5" s="5">
        <v>620000</v>
      </c>
      <c r="D5" s="9"/>
      <c r="E5" s="5">
        <v>0</v>
      </c>
      <c r="F5" s="4" t="s">
        <v>175</v>
      </c>
      <c r="G5" s="4" t="s">
        <v>176</v>
      </c>
    </row>
    <row r="6" spans="1:7" x14ac:dyDescent="0.25">
      <c r="A6" s="4" t="s">
        <v>177</v>
      </c>
      <c r="B6" s="9">
        <v>46269</v>
      </c>
      <c r="C6" s="5">
        <v>620000</v>
      </c>
      <c r="D6" s="9"/>
      <c r="E6" s="5">
        <v>0</v>
      </c>
      <c r="F6" s="4" t="s">
        <v>178</v>
      </c>
      <c r="G6" s="4" t="s">
        <v>179</v>
      </c>
    </row>
    <row r="7" spans="1:7" x14ac:dyDescent="0.25">
      <c r="A7" s="4" t="s">
        <v>180</v>
      </c>
      <c r="B7" s="9">
        <v>46273</v>
      </c>
      <c r="C7" s="5">
        <v>620000</v>
      </c>
      <c r="D7" s="9">
        <v>46269</v>
      </c>
      <c r="E7" s="5">
        <v>90000</v>
      </c>
      <c r="F7" s="4" t="s">
        <v>181</v>
      </c>
      <c r="G7" s="4" t="s">
        <v>182</v>
      </c>
    </row>
  </sheetData>
  <mergeCells count="2">
    <mergeCell ref="A2:G2"/>
    <mergeCell ref="A1:G1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5"/>
  <sheetViews>
    <sheetView showGridLines="0" topLeftCell="A82" workbookViewId="0">
      <selection sqref="A1:H1"/>
    </sheetView>
  </sheetViews>
  <sheetFormatPr defaultRowHeight="15" x14ac:dyDescent="0.25"/>
  <cols>
    <col min="1" max="1" width="14" customWidth="1"/>
    <col min="2" max="2" width="12" customWidth="1"/>
    <col min="3" max="3" width="26" customWidth="1"/>
    <col min="4" max="4" width="12" customWidth="1"/>
    <col min="5" max="5" width="18" customWidth="1"/>
    <col min="6" max="6" width="40" customWidth="1"/>
    <col min="7" max="7" width="18" customWidth="1"/>
    <col min="8" max="8" width="14" customWidth="1"/>
  </cols>
  <sheetData>
    <row r="1" spans="1:8" ht="26.1" customHeight="1" x14ac:dyDescent="0.25">
      <c r="A1" s="22" t="s">
        <v>183</v>
      </c>
      <c r="B1" s="21"/>
      <c r="C1" s="21"/>
      <c r="D1" s="21"/>
      <c r="E1" s="21"/>
      <c r="F1" s="21"/>
      <c r="G1" s="21"/>
      <c r="H1" s="21"/>
    </row>
    <row r="2" spans="1:8" ht="30" customHeight="1" x14ac:dyDescent="0.25">
      <c r="A2" s="20" t="s">
        <v>184</v>
      </c>
      <c r="B2" s="21"/>
      <c r="C2" s="21"/>
      <c r="D2" s="21"/>
      <c r="E2" s="21"/>
      <c r="F2" s="21"/>
      <c r="G2" s="21"/>
      <c r="H2" s="21"/>
    </row>
    <row r="4" spans="1:8" ht="32.1" customHeight="1" x14ac:dyDescent="0.25">
      <c r="A4" s="1" t="s">
        <v>185</v>
      </c>
      <c r="B4" s="1" t="s">
        <v>26</v>
      </c>
      <c r="C4" s="1" t="s">
        <v>56</v>
      </c>
      <c r="D4" s="1" t="s">
        <v>28</v>
      </c>
      <c r="E4" s="1" t="s">
        <v>186</v>
      </c>
      <c r="F4" s="1" t="s">
        <v>172</v>
      </c>
      <c r="G4" s="1" t="s">
        <v>187</v>
      </c>
      <c r="H4" s="1" t="s">
        <v>188</v>
      </c>
    </row>
    <row r="5" spans="1:8" x14ac:dyDescent="0.25">
      <c r="A5" s="10">
        <v>46265</v>
      </c>
      <c r="B5" s="6" t="s">
        <v>34</v>
      </c>
      <c r="C5" s="6" t="s">
        <v>35</v>
      </c>
      <c r="D5" s="6" t="s">
        <v>36</v>
      </c>
      <c r="E5" s="6" t="s">
        <v>189</v>
      </c>
      <c r="F5" s="6" t="s">
        <v>190</v>
      </c>
      <c r="G5" s="11">
        <v>80000</v>
      </c>
      <c r="H5" s="6" t="s">
        <v>191</v>
      </c>
    </row>
    <row r="6" spans="1:8" x14ac:dyDescent="0.25">
      <c r="A6" s="10">
        <v>46265</v>
      </c>
      <c r="B6" s="6" t="s">
        <v>34</v>
      </c>
      <c r="C6" s="6" t="s">
        <v>35</v>
      </c>
      <c r="D6" s="6" t="s">
        <v>36</v>
      </c>
      <c r="E6" s="6" t="s">
        <v>192</v>
      </c>
      <c r="F6" s="6" t="s">
        <v>193</v>
      </c>
      <c r="G6" s="11">
        <v>-80000</v>
      </c>
      <c r="H6" s="6" t="s">
        <v>191</v>
      </c>
    </row>
    <row r="7" spans="1:8" x14ac:dyDescent="0.25">
      <c r="A7" s="10">
        <v>46266</v>
      </c>
      <c r="B7" s="6" t="s">
        <v>34</v>
      </c>
      <c r="C7" s="6" t="s">
        <v>35</v>
      </c>
      <c r="D7" s="6" t="s">
        <v>36</v>
      </c>
      <c r="E7" s="6" t="s">
        <v>189</v>
      </c>
      <c r="F7" s="6" t="s">
        <v>190</v>
      </c>
      <c r="G7" s="11">
        <v>80000</v>
      </c>
      <c r="H7" s="6" t="s">
        <v>191</v>
      </c>
    </row>
    <row r="8" spans="1:8" x14ac:dyDescent="0.25">
      <c r="A8" s="10">
        <v>46266</v>
      </c>
      <c r="B8" s="6" t="s">
        <v>34</v>
      </c>
      <c r="C8" s="6" t="s">
        <v>35</v>
      </c>
      <c r="D8" s="6" t="s">
        <v>36</v>
      </c>
      <c r="E8" s="6" t="s">
        <v>192</v>
      </c>
      <c r="F8" s="6" t="s">
        <v>193</v>
      </c>
      <c r="G8" s="11">
        <v>-80000</v>
      </c>
      <c r="H8" s="6" t="s">
        <v>191</v>
      </c>
    </row>
    <row r="9" spans="1:8" x14ac:dyDescent="0.25">
      <c r="A9" s="10">
        <v>46267</v>
      </c>
      <c r="B9" s="6" t="s">
        <v>34</v>
      </c>
      <c r="C9" s="6" t="s">
        <v>35</v>
      </c>
      <c r="D9" s="6" t="s">
        <v>36</v>
      </c>
      <c r="E9" s="6" t="s">
        <v>189</v>
      </c>
      <c r="F9" s="6" t="s">
        <v>190</v>
      </c>
      <c r="G9" s="11">
        <v>250000</v>
      </c>
      <c r="H9" s="6" t="s">
        <v>191</v>
      </c>
    </row>
    <row r="10" spans="1:8" x14ac:dyDescent="0.25">
      <c r="A10" s="10">
        <v>46267</v>
      </c>
      <c r="B10" s="6" t="s">
        <v>34</v>
      </c>
      <c r="C10" s="6" t="s">
        <v>35</v>
      </c>
      <c r="D10" s="6" t="s">
        <v>36</v>
      </c>
      <c r="E10" s="6" t="s">
        <v>192</v>
      </c>
      <c r="F10" s="6" t="s">
        <v>193</v>
      </c>
      <c r="G10" s="11">
        <v>-80000</v>
      </c>
      <c r="H10" s="6" t="s">
        <v>191</v>
      </c>
    </row>
    <row r="11" spans="1:8" x14ac:dyDescent="0.25">
      <c r="A11" s="10">
        <v>46268</v>
      </c>
      <c r="B11" s="6" t="s">
        <v>34</v>
      </c>
      <c r="C11" s="6" t="s">
        <v>35</v>
      </c>
      <c r="D11" s="6" t="s">
        <v>36</v>
      </c>
      <c r="E11" s="6" t="s">
        <v>189</v>
      </c>
      <c r="F11" s="6" t="s">
        <v>190</v>
      </c>
      <c r="G11" s="11">
        <v>80000</v>
      </c>
      <c r="H11" s="6" t="s">
        <v>191</v>
      </c>
    </row>
    <row r="12" spans="1:8" x14ac:dyDescent="0.25">
      <c r="A12" s="10">
        <v>46268</v>
      </c>
      <c r="B12" s="6" t="s">
        <v>34</v>
      </c>
      <c r="C12" s="6" t="s">
        <v>35</v>
      </c>
      <c r="D12" s="6" t="s">
        <v>36</v>
      </c>
      <c r="E12" s="6" t="s">
        <v>192</v>
      </c>
      <c r="F12" s="6" t="s">
        <v>193</v>
      </c>
      <c r="G12" s="11">
        <v>-80000</v>
      </c>
      <c r="H12" s="6" t="s">
        <v>191</v>
      </c>
    </row>
    <row r="13" spans="1:8" x14ac:dyDescent="0.25">
      <c r="A13" s="10">
        <v>46269</v>
      </c>
      <c r="B13" s="6" t="s">
        <v>34</v>
      </c>
      <c r="C13" s="6" t="s">
        <v>35</v>
      </c>
      <c r="D13" s="6" t="s">
        <v>36</v>
      </c>
      <c r="E13" s="6" t="s">
        <v>189</v>
      </c>
      <c r="F13" s="6" t="s">
        <v>190</v>
      </c>
      <c r="G13" s="11">
        <v>80000</v>
      </c>
      <c r="H13" s="6" t="s">
        <v>191</v>
      </c>
    </row>
    <row r="14" spans="1:8" x14ac:dyDescent="0.25">
      <c r="A14" s="10">
        <v>46269</v>
      </c>
      <c r="B14" s="6" t="s">
        <v>34</v>
      </c>
      <c r="C14" s="6" t="s">
        <v>35</v>
      </c>
      <c r="D14" s="6" t="s">
        <v>36</v>
      </c>
      <c r="E14" s="6" t="s">
        <v>192</v>
      </c>
      <c r="F14" s="6" t="s">
        <v>193</v>
      </c>
      <c r="G14" s="11">
        <v>-80000</v>
      </c>
      <c r="H14" s="6" t="s">
        <v>191</v>
      </c>
    </row>
    <row r="15" spans="1:8" x14ac:dyDescent="0.25">
      <c r="A15" s="10">
        <v>46269</v>
      </c>
      <c r="B15" s="6" t="s">
        <v>34</v>
      </c>
      <c r="C15" s="6" t="s">
        <v>35</v>
      </c>
      <c r="D15" s="6" t="s">
        <v>36</v>
      </c>
      <c r="E15" s="6" t="s">
        <v>192</v>
      </c>
      <c r="F15" s="6" t="s">
        <v>194</v>
      </c>
      <c r="G15" s="11">
        <v>-450000</v>
      </c>
      <c r="H15" s="6" t="s">
        <v>191</v>
      </c>
    </row>
    <row r="16" spans="1:8" x14ac:dyDescent="0.25">
      <c r="A16" s="10">
        <v>46270</v>
      </c>
      <c r="B16" s="6" t="s">
        <v>34</v>
      </c>
      <c r="C16" s="6" t="s">
        <v>35</v>
      </c>
      <c r="D16" s="6" t="s">
        <v>36</v>
      </c>
      <c r="E16" s="6" t="s">
        <v>189</v>
      </c>
      <c r="F16" s="6" t="s">
        <v>190</v>
      </c>
      <c r="G16" s="11">
        <v>80000</v>
      </c>
      <c r="H16" s="6" t="s">
        <v>191</v>
      </c>
    </row>
    <row r="17" spans="1:8" x14ac:dyDescent="0.25">
      <c r="A17" s="10">
        <v>46270</v>
      </c>
      <c r="B17" s="6" t="s">
        <v>34</v>
      </c>
      <c r="C17" s="6" t="s">
        <v>35</v>
      </c>
      <c r="D17" s="6" t="s">
        <v>36</v>
      </c>
      <c r="E17" s="6" t="s">
        <v>192</v>
      </c>
      <c r="F17" s="6" t="s">
        <v>193</v>
      </c>
      <c r="G17" s="11">
        <v>-80000</v>
      </c>
      <c r="H17" s="6" t="s">
        <v>191</v>
      </c>
    </row>
    <row r="18" spans="1:8" x14ac:dyDescent="0.25">
      <c r="A18" s="10">
        <v>46271</v>
      </c>
      <c r="B18" s="6" t="s">
        <v>34</v>
      </c>
      <c r="C18" s="6" t="s">
        <v>35</v>
      </c>
      <c r="D18" s="6" t="s">
        <v>36</v>
      </c>
      <c r="E18" s="6" t="s">
        <v>189</v>
      </c>
      <c r="F18" s="6" t="s">
        <v>190</v>
      </c>
      <c r="G18" s="11">
        <v>80000</v>
      </c>
      <c r="H18" s="6" t="s">
        <v>191</v>
      </c>
    </row>
    <row r="19" spans="1:8" x14ac:dyDescent="0.25">
      <c r="A19" s="10">
        <v>46271</v>
      </c>
      <c r="B19" s="6" t="s">
        <v>34</v>
      </c>
      <c r="C19" s="6" t="s">
        <v>35</v>
      </c>
      <c r="D19" s="6" t="s">
        <v>36</v>
      </c>
      <c r="E19" s="6" t="s">
        <v>192</v>
      </c>
      <c r="F19" s="6" t="s">
        <v>193</v>
      </c>
      <c r="G19" s="11">
        <v>-80000</v>
      </c>
      <c r="H19" s="6" t="s">
        <v>191</v>
      </c>
    </row>
    <row r="20" spans="1:8" x14ac:dyDescent="0.25">
      <c r="A20" s="10">
        <v>46272</v>
      </c>
      <c r="B20" s="6" t="s">
        <v>34</v>
      </c>
      <c r="C20" s="6" t="s">
        <v>35</v>
      </c>
      <c r="D20" s="6" t="s">
        <v>36</v>
      </c>
      <c r="E20" s="6" t="s">
        <v>189</v>
      </c>
      <c r="F20" s="6" t="s">
        <v>190</v>
      </c>
      <c r="G20" s="11">
        <v>250000</v>
      </c>
      <c r="H20" s="6" t="s">
        <v>191</v>
      </c>
    </row>
    <row r="21" spans="1:8" x14ac:dyDescent="0.25">
      <c r="A21" s="10">
        <v>46272</v>
      </c>
      <c r="B21" s="6" t="s">
        <v>34</v>
      </c>
      <c r="C21" s="6" t="s">
        <v>35</v>
      </c>
      <c r="D21" s="6" t="s">
        <v>36</v>
      </c>
      <c r="E21" s="6" t="s">
        <v>192</v>
      </c>
      <c r="F21" s="6" t="s">
        <v>193</v>
      </c>
      <c r="G21" s="11">
        <v>-80000</v>
      </c>
      <c r="H21" s="6" t="s">
        <v>191</v>
      </c>
    </row>
    <row r="22" spans="1:8" x14ac:dyDescent="0.25">
      <c r="A22" s="10">
        <v>46273</v>
      </c>
      <c r="B22" s="6" t="s">
        <v>34</v>
      </c>
      <c r="C22" s="6" t="s">
        <v>35</v>
      </c>
      <c r="D22" s="6" t="s">
        <v>36</v>
      </c>
      <c r="E22" s="6" t="s">
        <v>189</v>
      </c>
      <c r="F22" s="6" t="s">
        <v>190</v>
      </c>
      <c r="G22" s="11">
        <v>80000</v>
      </c>
      <c r="H22" s="6" t="s">
        <v>191</v>
      </c>
    </row>
    <row r="23" spans="1:8" x14ac:dyDescent="0.25">
      <c r="A23" s="10">
        <v>46273</v>
      </c>
      <c r="B23" s="6" t="s">
        <v>34</v>
      </c>
      <c r="C23" s="6" t="s">
        <v>35</v>
      </c>
      <c r="D23" s="6" t="s">
        <v>36</v>
      </c>
      <c r="E23" s="6" t="s">
        <v>192</v>
      </c>
      <c r="F23" s="6" t="s">
        <v>193</v>
      </c>
      <c r="G23" s="11">
        <v>-80000</v>
      </c>
      <c r="H23" s="6" t="s">
        <v>191</v>
      </c>
    </row>
    <row r="24" spans="1:8" x14ac:dyDescent="0.25">
      <c r="A24" s="10">
        <v>46274</v>
      </c>
      <c r="B24" s="6" t="s">
        <v>34</v>
      </c>
      <c r="C24" s="6" t="s">
        <v>35</v>
      </c>
      <c r="D24" s="6" t="s">
        <v>36</v>
      </c>
      <c r="E24" s="6" t="s">
        <v>189</v>
      </c>
      <c r="F24" s="6" t="s">
        <v>190</v>
      </c>
      <c r="G24" s="11">
        <v>80000</v>
      </c>
      <c r="H24" s="6" t="s">
        <v>191</v>
      </c>
    </row>
    <row r="25" spans="1:8" x14ac:dyDescent="0.25">
      <c r="A25" s="10">
        <v>46274</v>
      </c>
      <c r="B25" s="6" t="s">
        <v>34</v>
      </c>
      <c r="C25" s="6" t="s">
        <v>35</v>
      </c>
      <c r="D25" s="6" t="s">
        <v>36</v>
      </c>
      <c r="E25" s="6" t="s">
        <v>192</v>
      </c>
      <c r="F25" s="6" t="s">
        <v>193</v>
      </c>
      <c r="G25" s="11">
        <v>-80000</v>
      </c>
      <c r="H25" s="6" t="s">
        <v>191</v>
      </c>
    </row>
    <row r="26" spans="1:8" x14ac:dyDescent="0.25">
      <c r="A26" s="10">
        <v>46265</v>
      </c>
      <c r="B26" s="6" t="s">
        <v>38</v>
      </c>
      <c r="C26" s="6" t="s">
        <v>39</v>
      </c>
      <c r="D26" s="6" t="s">
        <v>36</v>
      </c>
      <c r="E26" s="6" t="s">
        <v>189</v>
      </c>
      <c r="F26" s="6" t="s">
        <v>195</v>
      </c>
      <c r="G26" s="11">
        <v>160000</v>
      </c>
      <c r="H26" s="6" t="s">
        <v>191</v>
      </c>
    </row>
    <row r="27" spans="1:8" x14ac:dyDescent="0.25">
      <c r="A27" s="10">
        <v>46265</v>
      </c>
      <c r="B27" s="6" t="s">
        <v>38</v>
      </c>
      <c r="C27" s="6" t="s">
        <v>39</v>
      </c>
      <c r="D27" s="6" t="s">
        <v>36</v>
      </c>
      <c r="E27" s="6" t="s">
        <v>192</v>
      </c>
      <c r="F27" s="6" t="s">
        <v>196</v>
      </c>
      <c r="G27" s="11">
        <v>-95000</v>
      </c>
      <c r="H27" s="6" t="s">
        <v>191</v>
      </c>
    </row>
    <row r="28" spans="1:8" x14ac:dyDescent="0.25">
      <c r="A28" s="10">
        <v>46265</v>
      </c>
      <c r="B28" s="6" t="s">
        <v>38</v>
      </c>
      <c r="C28" s="6" t="s">
        <v>39</v>
      </c>
      <c r="D28" s="6" t="s">
        <v>36</v>
      </c>
      <c r="E28" s="6" t="s">
        <v>192</v>
      </c>
      <c r="F28" s="6" t="s">
        <v>197</v>
      </c>
      <c r="G28" s="11">
        <v>-25000</v>
      </c>
      <c r="H28" s="6" t="s">
        <v>191</v>
      </c>
    </row>
    <row r="29" spans="1:8" x14ac:dyDescent="0.25">
      <c r="A29" s="10">
        <v>46266</v>
      </c>
      <c r="B29" s="6" t="s">
        <v>38</v>
      </c>
      <c r="C29" s="6" t="s">
        <v>39</v>
      </c>
      <c r="D29" s="6" t="s">
        <v>36</v>
      </c>
      <c r="E29" s="6" t="s">
        <v>189</v>
      </c>
      <c r="F29" s="6" t="s">
        <v>195</v>
      </c>
      <c r="G29" s="11">
        <v>175000</v>
      </c>
      <c r="H29" s="6" t="s">
        <v>191</v>
      </c>
    </row>
    <row r="30" spans="1:8" x14ac:dyDescent="0.25">
      <c r="A30" s="10">
        <v>46266</v>
      </c>
      <c r="B30" s="6" t="s">
        <v>38</v>
      </c>
      <c r="C30" s="6" t="s">
        <v>39</v>
      </c>
      <c r="D30" s="6" t="s">
        <v>36</v>
      </c>
      <c r="E30" s="6" t="s">
        <v>192</v>
      </c>
      <c r="F30" s="6" t="s">
        <v>196</v>
      </c>
      <c r="G30" s="11">
        <v>-120000</v>
      </c>
      <c r="H30" s="6" t="s">
        <v>191</v>
      </c>
    </row>
    <row r="31" spans="1:8" x14ac:dyDescent="0.25">
      <c r="A31" s="10">
        <v>46266</v>
      </c>
      <c r="B31" s="6" t="s">
        <v>38</v>
      </c>
      <c r="C31" s="6" t="s">
        <v>39</v>
      </c>
      <c r="D31" s="6" t="s">
        <v>36</v>
      </c>
      <c r="E31" s="6" t="s">
        <v>192</v>
      </c>
      <c r="F31" s="6" t="s">
        <v>197</v>
      </c>
      <c r="G31" s="11">
        <v>-25000</v>
      </c>
      <c r="H31" s="6" t="s">
        <v>191</v>
      </c>
    </row>
    <row r="32" spans="1:8" x14ac:dyDescent="0.25">
      <c r="A32" s="10">
        <v>46267</v>
      </c>
      <c r="B32" s="6" t="s">
        <v>38</v>
      </c>
      <c r="C32" s="6" t="s">
        <v>39</v>
      </c>
      <c r="D32" s="6" t="s">
        <v>36</v>
      </c>
      <c r="E32" s="6" t="s">
        <v>189</v>
      </c>
      <c r="F32" s="6" t="s">
        <v>195</v>
      </c>
      <c r="G32" s="11">
        <v>200000</v>
      </c>
      <c r="H32" s="6" t="s">
        <v>191</v>
      </c>
    </row>
    <row r="33" spans="1:8" x14ac:dyDescent="0.25">
      <c r="A33" s="10">
        <v>46267</v>
      </c>
      <c r="B33" s="6" t="s">
        <v>38</v>
      </c>
      <c r="C33" s="6" t="s">
        <v>39</v>
      </c>
      <c r="D33" s="6" t="s">
        <v>36</v>
      </c>
      <c r="E33" s="6" t="s">
        <v>192</v>
      </c>
      <c r="F33" s="6" t="s">
        <v>196</v>
      </c>
      <c r="G33" s="11">
        <v>-110000</v>
      </c>
      <c r="H33" s="6" t="s">
        <v>191</v>
      </c>
    </row>
    <row r="34" spans="1:8" x14ac:dyDescent="0.25">
      <c r="A34" s="10">
        <v>46267</v>
      </c>
      <c r="B34" s="6" t="s">
        <v>38</v>
      </c>
      <c r="C34" s="6" t="s">
        <v>39</v>
      </c>
      <c r="D34" s="6" t="s">
        <v>36</v>
      </c>
      <c r="E34" s="6" t="s">
        <v>192</v>
      </c>
      <c r="F34" s="6" t="s">
        <v>197</v>
      </c>
      <c r="G34" s="11">
        <v>-25000</v>
      </c>
      <c r="H34" s="6" t="s">
        <v>191</v>
      </c>
    </row>
    <row r="35" spans="1:8" x14ac:dyDescent="0.25">
      <c r="A35" s="10">
        <v>46267</v>
      </c>
      <c r="B35" s="6" t="s">
        <v>38</v>
      </c>
      <c r="C35" s="6" t="s">
        <v>39</v>
      </c>
      <c r="D35" s="6" t="s">
        <v>36</v>
      </c>
      <c r="E35" s="6" t="s">
        <v>192</v>
      </c>
      <c r="F35" s="6" t="s">
        <v>198</v>
      </c>
      <c r="G35" s="11">
        <v>-95000</v>
      </c>
      <c r="H35" s="6" t="s">
        <v>191</v>
      </c>
    </row>
    <row r="36" spans="1:8" x14ac:dyDescent="0.25">
      <c r="A36" s="10">
        <v>46268</v>
      </c>
      <c r="B36" s="6" t="s">
        <v>38</v>
      </c>
      <c r="C36" s="6" t="s">
        <v>39</v>
      </c>
      <c r="D36" s="6" t="s">
        <v>36</v>
      </c>
      <c r="E36" s="6" t="s">
        <v>189</v>
      </c>
      <c r="F36" s="6" t="s">
        <v>195</v>
      </c>
      <c r="G36" s="11">
        <v>180000</v>
      </c>
      <c r="H36" s="6" t="s">
        <v>191</v>
      </c>
    </row>
    <row r="37" spans="1:8" x14ac:dyDescent="0.25">
      <c r="A37" s="10">
        <v>46268</v>
      </c>
      <c r="B37" s="6" t="s">
        <v>38</v>
      </c>
      <c r="C37" s="6" t="s">
        <v>39</v>
      </c>
      <c r="D37" s="6" t="s">
        <v>36</v>
      </c>
      <c r="E37" s="6" t="s">
        <v>192</v>
      </c>
      <c r="F37" s="6" t="s">
        <v>196</v>
      </c>
      <c r="G37" s="11">
        <v>-140000</v>
      </c>
      <c r="H37" s="6" t="s">
        <v>191</v>
      </c>
    </row>
    <row r="38" spans="1:8" x14ac:dyDescent="0.25">
      <c r="A38" s="10">
        <v>46268</v>
      </c>
      <c r="B38" s="6" t="s">
        <v>38</v>
      </c>
      <c r="C38" s="6" t="s">
        <v>39</v>
      </c>
      <c r="D38" s="6" t="s">
        <v>36</v>
      </c>
      <c r="E38" s="6" t="s">
        <v>192</v>
      </c>
      <c r="F38" s="6" t="s">
        <v>197</v>
      </c>
      <c r="G38" s="11">
        <v>-25000</v>
      </c>
      <c r="H38" s="6" t="s">
        <v>191</v>
      </c>
    </row>
    <row r="39" spans="1:8" x14ac:dyDescent="0.25">
      <c r="A39" s="10">
        <v>46269</v>
      </c>
      <c r="B39" s="6" t="s">
        <v>38</v>
      </c>
      <c r="C39" s="6" t="s">
        <v>39</v>
      </c>
      <c r="D39" s="6" t="s">
        <v>36</v>
      </c>
      <c r="E39" s="6" t="s">
        <v>189</v>
      </c>
      <c r="F39" s="6" t="s">
        <v>195</v>
      </c>
      <c r="G39" s="11">
        <v>155000</v>
      </c>
      <c r="H39" s="6" t="s">
        <v>191</v>
      </c>
    </row>
    <row r="40" spans="1:8" x14ac:dyDescent="0.25">
      <c r="A40" s="10">
        <v>46269</v>
      </c>
      <c r="B40" s="6" t="s">
        <v>38</v>
      </c>
      <c r="C40" s="6" t="s">
        <v>39</v>
      </c>
      <c r="D40" s="6" t="s">
        <v>36</v>
      </c>
      <c r="E40" s="6" t="s">
        <v>192</v>
      </c>
      <c r="F40" s="6" t="s">
        <v>196</v>
      </c>
      <c r="G40" s="11">
        <v>-90000</v>
      </c>
      <c r="H40" s="6" t="s">
        <v>191</v>
      </c>
    </row>
    <row r="41" spans="1:8" x14ac:dyDescent="0.25">
      <c r="A41" s="10">
        <v>46269</v>
      </c>
      <c r="B41" s="6" t="s">
        <v>38</v>
      </c>
      <c r="C41" s="6" t="s">
        <v>39</v>
      </c>
      <c r="D41" s="6" t="s">
        <v>36</v>
      </c>
      <c r="E41" s="6" t="s">
        <v>192</v>
      </c>
      <c r="F41" s="6" t="s">
        <v>197</v>
      </c>
      <c r="G41" s="11">
        <v>-25000</v>
      </c>
      <c r="H41" s="6" t="s">
        <v>191</v>
      </c>
    </row>
    <row r="42" spans="1:8" x14ac:dyDescent="0.25">
      <c r="A42" s="10">
        <v>46270</v>
      </c>
      <c r="B42" s="6" t="s">
        <v>38</v>
      </c>
      <c r="C42" s="6" t="s">
        <v>39</v>
      </c>
      <c r="D42" s="6" t="s">
        <v>36</v>
      </c>
      <c r="E42" s="6" t="s">
        <v>189</v>
      </c>
      <c r="F42" s="6" t="s">
        <v>195</v>
      </c>
      <c r="G42" s="11">
        <v>130000</v>
      </c>
      <c r="H42" s="6" t="s">
        <v>191</v>
      </c>
    </row>
    <row r="43" spans="1:8" x14ac:dyDescent="0.25">
      <c r="A43" s="10">
        <v>46270</v>
      </c>
      <c r="B43" s="6" t="s">
        <v>38</v>
      </c>
      <c r="C43" s="6" t="s">
        <v>39</v>
      </c>
      <c r="D43" s="6" t="s">
        <v>36</v>
      </c>
      <c r="E43" s="6" t="s">
        <v>192</v>
      </c>
      <c r="F43" s="6" t="s">
        <v>196</v>
      </c>
      <c r="G43" s="11">
        <v>-105000</v>
      </c>
      <c r="H43" s="6" t="s">
        <v>191</v>
      </c>
    </row>
    <row r="44" spans="1:8" x14ac:dyDescent="0.25">
      <c r="A44" s="10">
        <v>46270</v>
      </c>
      <c r="B44" s="6" t="s">
        <v>38</v>
      </c>
      <c r="C44" s="6" t="s">
        <v>39</v>
      </c>
      <c r="D44" s="6" t="s">
        <v>36</v>
      </c>
      <c r="E44" s="6" t="s">
        <v>192</v>
      </c>
      <c r="F44" s="6" t="s">
        <v>197</v>
      </c>
      <c r="G44" s="11">
        <v>-25000</v>
      </c>
      <c r="H44" s="6" t="s">
        <v>191</v>
      </c>
    </row>
    <row r="45" spans="1:8" x14ac:dyDescent="0.25">
      <c r="A45" s="10">
        <v>46271</v>
      </c>
      <c r="B45" s="6" t="s">
        <v>38</v>
      </c>
      <c r="C45" s="6" t="s">
        <v>39</v>
      </c>
      <c r="D45" s="6" t="s">
        <v>36</v>
      </c>
      <c r="E45" s="6" t="s">
        <v>189</v>
      </c>
      <c r="F45" s="6" t="s">
        <v>195</v>
      </c>
      <c r="G45" s="11">
        <v>195000</v>
      </c>
      <c r="H45" s="6" t="s">
        <v>191</v>
      </c>
    </row>
    <row r="46" spans="1:8" x14ac:dyDescent="0.25">
      <c r="A46" s="10">
        <v>46271</v>
      </c>
      <c r="B46" s="6" t="s">
        <v>38</v>
      </c>
      <c r="C46" s="6" t="s">
        <v>39</v>
      </c>
      <c r="D46" s="6" t="s">
        <v>36</v>
      </c>
      <c r="E46" s="6" t="s">
        <v>192</v>
      </c>
      <c r="F46" s="6" t="s">
        <v>196</v>
      </c>
      <c r="G46" s="11">
        <v>-125000</v>
      </c>
      <c r="H46" s="6" t="s">
        <v>191</v>
      </c>
    </row>
    <row r="47" spans="1:8" x14ac:dyDescent="0.25">
      <c r="A47" s="10">
        <v>46271</v>
      </c>
      <c r="B47" s="6" t="s">
        <v>38</v>
      </c>
      <c r="C47" s="6" t="s">
        <v>39</v>
      </c>
      <c r="D47" s="6" t="s">
        <v>36</v>
      </c>
      <c r="E47" s="6" t="s">
        <v>192</v>
      </c>
      <c r="F47" s="6" t="s">
        <v>197</v>
      </c>
      <c r="G47" s="11">
        <v>-25000</v>
      </c>
      <c r="H47" s="6" t="s">
        <v>191</v>
      </c>
    </row>
    <row r="48" spans="1:8" x14ac:dyDescent="0.25">
      <c r="A48" s="10">
        <v>46272</v>
      </c>
      <c r="B48" s="6" t="s">
        <v>38</v>
      </c>
      <c r="C48" s="6" t="s">
        <v>39</v>
      </c>
      <c r="D48" s="6" t="s">
        <v>36</v>
      </c>
      <c r="E48" s="6" t="s">
        <v>189</v>
      </c>
      <c r="F48" s="6" t="s">
        <v>195</v>
      </c>
      <c r="G48" s="11">
        <v>205000</v>
      </c>
      <c r="H48" s="6" t="s">
        <v>191</v>
      </c>
    </row>
    <row r="49" spans="1:8" x14ac:dyDescent="0.25">
      <c r="A49" s="10">
        <v>46272</v>
      </c>
      <c r="B49" s="6" t="s">
        <v>38</v>
      </c>
      <c r="C49" s="6" t="s">
        <v>39</v>
      </c>
      <c r="D49" s="6" t="s">
        <v>36</v>
      </c>
      <c r="E49" s="6" t="s">
        <v>192</v>
      </c>
      <c r="F49" s="6" t="s">
        <v>196</v>
      </c>
      <c r="G49" s="11">
        <v>-100000</v>
      </c>
      <c r="H49" s="6" t="s">
        <v>191</v>
      </c>
    </row>
    <row r="50" spans="1:8" x14ac:dyDescent="0.25">
      <c r="A50" s="10">
        <v>46272</v>
      </c>
      <c r="B50" s="6" t="s">
        <v>38</v>
      </c>
      <c r="C50" s="6" t="s">
        <v>39</v>
      </c>
      <c r="D50" s="6" t="s">
        <v>36</v>
      </c>
      <c r="E50" s="6" t="s">
        <v>192</v>
      </c>
      <c r="F50" s="6" t="s">
        <v>197</v>
      </c>
      <c r="G50" s="11">
        <v>-25000</v>
      </c>
      <c r="H50" s="6" t="s">
        <v>191</v>
      </c>
    </row>
    <row r="51" spans="1:8" x14ac:dyDescent="0.25">
      <c r="A51" s="10">
        <v>46273</v>
      </c>
      <c r="B51" s="6" t="s">
        <v>38</v>
      </c>
      <c r="C51" s="6" t="s">
        <v>39</v>
      </c>
      <c r="D51" s="6" t="s">
        <v>36</v>
      </c>
      <c r="E51" s="6" t="s">
        <v>189</v>
      </c>
      <c r="F51" s="6" t="s">
        <v>195</v>
      </c>
      <c r="G51" s="11">
        <v>185000</v>
      </c>
      <c r="H51" s="6" t="s">
        <v>191</v>
      </c>
    </row>
    <row r="52" spans="1:8" x14ac:dyDescent="0.25">
      <c r="A52" s="10">
        <v>46273</v>
      </c>
      <c r="B52" s="6" t="s">
        <v>38</v>
      </c>
      <c r="C52" s="6" t="s">
        <v>39</v>
      </c>
      <c r="D52" s="6" t="s">
        <v>36</v>
      </c>
      <c r="E52" s="6" t="s">
        <v>192</v>
      </c>
      <c r="F52" s="6" t="s">
        <v>196</v>
      </c>
      <c r="G52" s="11">
        <v>-130000</v>
      </c>
      <c r="H52" s="6" t="s">
        <v>191</v>
      </c>
    </row>
    <row r="53" spans="1:8" x14ac:dyDescent="0.25">
      <c r="A53" s="10">
        <v>46273</v>
      </c>
      <c r="B53" s="6" t="s">
        <v>38</v>
      </c>
      <c r="C53" s="6" t="s">
        <v>39</v>
      </c>
      <c r="D53" s="6" t="s">
        <v>36</v>
      </c>
      <c r="E53" s="6" t="s">
        <v>192</v>
      </c>
      <c r="F53" s="6" t="s">
        <v>197</v>
      </c>
      <c r="G53" s="11">
        <v>-25000</v>
      </c>
      <c r="H53" s="6" t="s">
        <v>191</v>
      </c>
    </row>
    <row r="54" spans="1:8" x14ac:dyDescent="0.25">
      <c r="A54" s="10">
        <v>46274</v>
      </c>
      <c r="B54" s="6" t="s">
        <v>38</v>
      </c>
      <c r="C54" s="6" t="s">
        <v>39</v>
      </c>
      <c r="D54" s="6" t="s">
        <v>36</v>
      </c>
      <c r="E54" s="6" t="s">
        <v>189</v>
      </c>
      <c r="F54" s="6" t="s">
        <v>195</v>
      </c>
      <c r="G54" s="11">
        <v>170000</v>
      </c>
      <c r="H54" s="6" t="s">
        <v>191</v>
      </c>
    </row>
    <row r="55" spans="1:8" x14ac:dyDescent="0.25">
      <c r="A55" s="10">
        <v>46274</v>
      </c>
      <c r="B55" s="6" t="s">
        <v>38</v>
      </c>
      <c r="C55" s="6" t="s">
        <v>39</v>
      </c>
      <c r="D55" s="6" t="s">
        <v>36</v>
      </c>
      <c r="E55" s="6" t="s">
        <v>192</v>
      </c>
      <c r="F55" s="6" t="s">
        <v>196</v>
      </c>
      <c r="G55" s="11">
        <v>-115000</v>
      </c>
      <c r="H55" s="6" t="s">
        <v>191</v>
      </c>
    </row>
    <row r="56" spans="1:8" x14ac:dyDescent="0.25">
      <c r="A56" s="10">
        <v>46274</v>
      </c>
      <c r="B56" s="6" t="s">
        <v>38</v>
      </c>
      <c r="C56" s="6" t="s">
        <v>39</v>
      </c>
      <c r="D56" s="6" t="s">
        <v>36</v>
      </c>
      <c r="E56" s="6" t="s">
        <v>192</v>
      </c>
      <c r="F56" s="6" t="s">
        <v>197</v>
      </c>
      <c r="G56" s="11">
        <v>-25000</v>
      </c>
      <c r="H56" s="6" t="s">
        <v>191</v>
      </c>
    </row>
    <row r="57" spans="1:8" x14ac:dyDescent="0.25">
      <c r="A57" s="10">
        <v>46265</v>
      </c>
      <c r="B57" s="6" t="s">
        <v>40</v>
      </c>
      <c r="C57" s="6" t="s">
        <v>41</v>
      </c>
      <c r="D57" s="6" t="s">
        <v>36</v>
      </c>
      <c r="E57" s="6" t="s">
        <v>189</v>
      </c>
      <c r="F57" s="6" t="s">
        <v>199</v>
      </c>
      <c r="G57" s="11">
        <v>86000</v>
      </c>
      <c r="H57" s="6" t="s">
        <v>200</v>
      </c>
    </row>
    <row r="58" spans="1:8" x14ac:dyDescent="0.25">
      <c r="A58" s="10">
        <v>46265</v>
      </c>
      <c r="B58" s="6" t="s">
        <v>40</v>
      </c>
      <c r="C58" s="6" t="s">
        <v>41</v>
      </c>
      <c r="D58" s="6" t="s">
        <v>36</v>
      </c>
      <c r="E58" s="6" t="s">
        <v>192</v>
      </c>
      <c r="F58" s="6" t="s">
        <v>201</v>
      </c>
      <c r="G58" s="11">
        <v>-71000</v>
      </c>
      <c r="H58" s="6" t="s">
        <v>200</v>
      </c>
    </row>
    <row r="59" spans="1:8" x14ac:dyDescent="0.25">
      <c r="A59" s="10">
        <v>46265</v>
      </c>
      <c r="B59" s="6" t="s">
        <v>40</v>
      </c>
      <c r="C59" s="6" t="s">
        <v>41</v>
      </c>
      <c r="D59" s="6" t="s">
        <v>36</v>
      </c>
      <c r="E59" s="6" t="s">
        <v>202</v>
      </c>
      <c r="F59" s="6" t="s">
        <v>203</v>
      </c>
      <c r="G59" s="11">
        <v>250000</v>
      </c>
      <c r="H59" s="6" t="s">
        <v>191</v>
      </c>
    </row>
    <row r="60" spans="1:8" x14ac:dyDescent="0.25">
      <c r="A60" s="10">
        <v>46266</v>
      </c>
      <c r="B60" s="6" t="s">
        <v>40</v>
      </c>
      <c r="C60" s="6" t="s">
        <v>41</v>
      </c>
      <c r="D60" s="6" t="s">
        <v>36</v>
      </c>
      <c r="E60" s="6" t="s">
        <v>189</v>
      </c>
      <c r="F60" s="6" t="s">
        <v>199</v>
      </c>
      <c r="G60" s="11">
        <v>86000</v>
      </c>
      <c r="H60" s="6" t="s">
        <v>200</v>
      </c>
    </row>
    <row r="61" spans="1:8" x14ac:dyDescent="0.25">
      <c r="A61" s="10">
        <v>46266</v>
      </c>
      <c r="B61" s="6" t="s">
        <v>40</v>
      </c>
      <c r="C61" s="6" t="s">
        <v>41</v>
      </c>
      <c r="D61" s="6" t="s">
        <v>36</v>
      </c>
      <c r="E61" s="6" t="s">
        <v>192</v>
      </c>
      <c r="F61" s="6" t="s">
        <v>201</v>
      </c>
      <c r="G61" s="11">
        <v>-71000</v>
      </c>
      <c r="H61" s="6" t="s">
        <v>200</v>
      </c>
    </row>
    <row r="62" spans="1:8" x14ac:dyDescent="0.25">
      <c r="A62" s="10">
        <v>46266</v>
      </c>
      <c r="B62" s="6" t="s">
        <v>40</v>
      </c>
      <c r="C62" s="6" t="s">
        <v>41</v>
      </c>
      <c r="D62" s="6" t="s">
        <v>36</v>
      </c>
      <c r="E62" s="6" t="s">
        <v>192</v>
      </c>
      <c r="F62" s="6" t="s">
        <v>90</v>
      </c>
      <c r="G62" s="11">
        <v>-220000</v>
      </c>
      <c r="H62" s="6" t="s">
        <v>191</v>
      </c>
    </row>
    <row r="63" spans="1:8" x14ac:dyDescent="0.25">
      <c r="A63" s="10">
        <v>46267</v>
      </c>
      <c r="B63" s="6" t="s">
        <v>40</v>
      </c>
      <c r="C63" s="6" t="s">
        <v>41</v>
      </c>
      <c r="D63" s="6" t="s">
        <v>36</v>
      </c>
      <c r="E63" s="6" t="s">
        <v>189</v>
      </c>
      <c r="F63" s="6" t="s">
        <v>199</v>
      </c>
      <c r="G63" s="11">
        <v>86000</v>
      </c>
      <c r="H63" s="6" t="s">
        <v>200</v>
      </c>
    </row>
    <row r="64" spans="1:8" x14ac:dyDescent="0.25">
      <c r="A64" s="10">
        <v>46267</v>
      </c>
      <c r="B64" s="6" t="s">
        <v>40</v>
      </c>
      <c r="C64" s="6" t="s">
        <v>41</v>
      </c>
      <c r="D64" s="6" t="s">
        <v>36</v>
      </c>
      <c r="E64" s="6" t="s">
        <v>192</v>
      </c>
      <c r="F64" s="6" t="s">
        <v>201</v>
      </c>
      <c r="G64" s="11">
        <v>-71000</v>
      </c>
      <c r="H64" s="6" t="s">
        <v>200</v>
      </c>
    </row>
    <row r="65" spans="1:8" x14ac:dyDescent="0.25">
      <c r="A65" s="10">
        <v>46268</v>
      </c>
      <c r="B65" s="6" t="s">
        <v>40</v>
      </c>
      <c r="C65" s="6" t="s">
        <v>41</v>
      </c>
      <c r="D65" s="6" t="s">
        <v>36</v>
      </c>
      <c r="E65" s="6" t="s">
        <v>189</v>
      </c>
      <c r="F65" s="6" t="s">
        <v>199</v>
      </c>
      <c r="G65" s="11">
        <v>86000</v>
      </c>
      <c r="H65" s="6" t="s">
        <v>200</v>
      </c>
    </row>
    <row r="66" spans="1:8" x14ac:dyDescent="0.25">
      <c r="A66" s="10">
        <v>46268</v>
      </c>
      <c r="B66" s="6" t="s">
        <v>40</v>
      </c>
      <c r="C66" s="6" t="s">
        <v>41</v>
      </c>
      <c r="D66" s="6" t="s">
        <v>36</v>
      </c>
      <c r="E66" s="6" t="s">
        <v>192</v>
      </c>
      <c r="F66" s="6" t="s">
        <v>201</v>
      </c>
      <c r="G66" s="11">
        <v>-71000</v>
      </c>
      <c r="H66" s="6" t="s">
        <v>200</v>
      </c>
    </row>
    <row r="67" spans="1:8" x14ac:dyDescent="0.25">
      <c r="A67" s="10">
        <v>46269</v>
      </c>
      <c r="B67" s="6" t="s">
        <v>40</v>
      </c>
      <c r="C67" s="6" t="s">
        <v>41</v>
      </c>
      <c r="D67" s="6" t="s">
        <v>36</v>
      </c>
      <c r="E67" s="6" t="s">
        <v>189</v>
      </c>
      <c r="F67" s="6" t="s">
        <v>199</v>
      </c>
      <c r="G67" s="11">
        <v>86000</v>
      </c>
      <c r="H67" s="6" t="s">
        <v>200</v>
      </c>
    </row>
    <row r="68" spans="1:8" x14ac:dyDescent="0.25">
      <c r="A68" s="10">
        <v>46269</v>
      </c>
      <c r="B68" s="6" t="s">
        <v>40</v>
      </c>
      <c r="C68" s="6" t="s">
        <v>41</v>
      </c>
      <c r="D68" s="6" t="s">
        <v>36</v>
      </c>
      <c r="E68" s="6" t="s">
        <v>192</v>
      </c>
      <c r="F68" s="6" t="s">
        <v>201</v>
      </c>
      <c r="G68" s="11">
        <v>-71000</v>
      </c>
      <c r="H68" s="6" t="s">
        <v>200</v>
      </c>
    </row>
    <row r="69" spans="1:8" x14ac:dyDescent="0.25">
      <c r="A69" s="10">
        <v>46270</v>
      </c>
      <c r="B69" s="6" t="s">
        <v>40</v>
      </c>
      <c r="C69" s="6" t="s">
        <v>41</v>
      </c>
      <c r="D69" s="6" t="s">
        <v>36</v>
      </c>
      <c r="E69" s="6" t="s">
        <v>189</v>
      </c>
      <c r="F69" s="6" t="s">
        <v>199</v>
      </c>
      <c r="G69" s="11">
        <v>78000</v>
      </c>
      <c r="H69" s="6" t="s">
        <v>200</v>
      </c>
    </row>
    <row r="70" spans="1:8" x14ac:dyDescent="0.25">
      <c r="A70" s="10">
        <v>46270</v>
      </c>
      <c r="B70" s="6" t="s">
        <v>40</v>
      </c>
      <c r="C70" s="6" t="s">
        <v>41</v>
      </c>
      <c r="D70" s="6" t="s">
        <v>36</v>
      </c>
      <c r="E70" s="6" t="s">
        <v>192</v>
      </c>
      <c r="F70" s="6" t="s">
        <v>201</v>
      </c>
      <c r="G70" s="11">
        <v>-82000</v>
      </c>
      <c r="H70" s="6" t="s">
        <v>200</v>
      </c>
    </row>
    <row r="71" spans="1:8" x14ac:dyDescent="0.25">
      <c r="A71" s="10">
        <v>46271</v>
      </c>
      <c r="B71" s="6" t="s">
        <v>40</v>
      </c>
      <c r="C71" s="6" t="s">
        <v>41</v>
      </c>
      <c r="D71" s="6" t="s">
        <v>36</v>
      </c>
      <c r="E71" s="6" t="s">
        <v>189</v>
      </c>
      <c r="F71" s="6" t="s">
        <v>199</v>
      </c>
      <c r="G71" s="11">
        <v>78000</v>
      </c>
      <c r="H71" s="6" t="s">
        <v>200</v>
      </c>
    </row>
    <row r="72" spans="1:8" x14ac:dyDescent="0.25">
      <c r="A72" s="10">
        <v>46271</v>
      </c>
      <c r="B72" s="6" t="s">
        <v>40</v>
      </c>
      <c r="C72" s="6" t="s">
        <v>41</v>
      </c>
      <c r="D72" s="6" t="s">
        <v>36</v>
      </c>
      <c r="E72" s="6" t="s">
        <v>192</v>
      </c>
      <c r="F72" s="6" t="s">
        <v>201</v>
      </c>
      <c r="G72" s="11">
        <v>-82000</v>
      </c>
      <c r="H72" s="6" t="s">
        <v>200</v>
      </c>
    </row>
    <row r="73" spans="1:8" x14ac:dyDescent="0.25">
      <c r="A73" s="10">
        <v>46272</v>
      </c>
      <c r="B73" s="6" t="s">
        <v>40</v>
      </c>
      <c r="C73" s="6" t="s">
        <v>41</v>
      </c>
      <c r="D73" s="6" t="s">
        <v>36</v>
      </c>
      <c r="E73" s="6" t="s">
        <v>189</v>
      </c>
      <c r="F73" s="6" t="s">
        <v>199</v>
      </c>
      <c r="G73" s="11">
        <v>78000</v>
      </c>
      <c r="H73" s="6" t="s">
        <v>200</v>
      </c>
    </row>
    <row r="74" spans="1:8" x14ac:dyDescent="0.25">
      <c r="A74" s="10">
        <v>46272</v>
      </c>
      <c r="B74" s="6" t="s">
        <v>40</v>
      </c>
      <c r="C74" s="6" t="s">
        <v>41</v>
      </c>
      <c r="D74" s="6" t="s">
        <v>36</v>
      </c>
      <c r="E74" s="6" t="s">
        <v>192</v>
      </c>
      <c r="F74" s="6" t="s">
        <v>201</v>
      </c>
      <c r="G74" s="11">
        <v>-82000</v>
      </c>
      <c r="H74" s="6" t="s">
        <v>200</v>
      </c>
    </row>
    <row r="75" spans="1:8" x14ac:dyDescent="0.25">
      <c r="A75" s="10">
        <v>46273</v>
      </c>
      <c r="B75" s="6" t="s">
        <v>40</v>
      </c>
      <c r="C75" s="6" t="s">
        <v>41</v>
      </c>
      <c r="D75" s="6" t="s">
        <v>36</v>
      </c>
      <c r="E75" s="6" t="s">
        <v>189</v>
      </c>
      <c r="F75" s="6" t="s">
        <v>199</v>
      </c>
      <c r="G75" s="11">
        <v>78000</v>
      </c>
      <c r="H75" s="6" t="s">
        <v>200</v>
      </c>
    </row>
    <row r="76" spans="1:8" x14ac:dyDescent="0.25">
      <c r="A76" s="10">
        <v>46273</v>
      </c>
      <c r="B76" s="6" t="s">
        <v>40</v>
      </c>
      <c r="C76" s="6" t="s">
        <v>41</v>
      </c>
      <c r="D76" s="6" t="s">
        <v>36</v>
      </c>
      <c r="E76" s="6" t="s">
        <v>192</v>
      </c>
      <c r="F76" s="6" t="s">
        <v>201</v>
      </c>
      <c r="G76" s="11">
        <v>-82000</v>
      </c>
      <c r="H76" s="6" t="s">
        <v>200</v>
      </c>
    </row>
    <row r="77" spans="1:8" x14ac:dyDescent="0.25">
      <c r="A77" s="10">
        <v>46273</v>
      </c>
      <c r="B77" s="6" t="s">
        <v>40</v>
      </c>
      <c r="C77" s="6" t="s">
        <v>41</v>
      </c>
      <c r="D77" s="6" t="s">
        <v>36</v>
      </c>
      <c r="E77" s="6" t="s">
        <v>192</v>
      </c>
      <c r="F77" s="6" t="s">
        <v>90</v>
      </c>
      <c r="G77" s="11">
        <v>-220000</v>
      </c>
      <c r="H77" s="6" t="s">
        <v>191</v>
      </c>
    </row>
    <row r="78" spans="1:8" x14ac:dyDescent="0.25">
      <c r="A78" s="10">
        <v>46274</v>
      </c>
      <c r="B78" s="6" t="s">
        <v>40</v>
      </c>
      <c r="C78" s="6" t="s">
        <v>41</v>
      </c>
      <c r="D78" s="6" t="s">
        <v>36</v>
      </c>
      <c r="E78" s="6" t="s">
        <v>189</v>
      </c>
      <c r="F78" s="6" t="s">
        <v>199</v>
      </c>
      <c r="G78" s="11">
        <v>78000</v>
      </c>
      <c r="H78" s="6" t="s">
        <v>200</v>
      </c>
    </row>
    <row r="79" spans="1:8" x14ac:dyDescent="0.25">
      <c r="A79" s="10">
        <v>46274</v>
      </c>
      <c r="B79" s="6" t="s">
        <v>40</v>
      </c>
      <c r="C79" s="6" t="s">
        <v>41</v>
      </c>
      <c r="D79" s="6" t="s">
        <v>36</v>
      </c>
      <c r="E79" s="6" t="s">
        <v>192</v>
      </c>
      <c r="F79" s="6" t="s">
        <v>201</v>
      </c>
      <c r="G79" s="11">
        <v>-82000</v>
      </c>
      <c r="H79" s="6" t="s">
        <v>200</v>
      </c>
    </row>
    <row r="80" spans="1:8" x14ac:dyDescent="0.25">
      <c r="A80" s="10">
        <v>46265</v>
      </c>
      <c r="B80" s="6" t="s">
        <v>43</v>
      </c>
      <c r="C80" s="6" t="s">
        <v>44</v>
      </c>
      <c r="D80" s="6" t="s">
        <v>36</v>
      </c>
      <c r="E80" s="6" t="s">
        <v>192</v>
      </c>
      <c r="F80" s="6" t="s">
        <v>204</v>
      </c>
      <c r="G80" s="11">
        <v>-85000</v>
      </c>
      <c r="H80" s="6" t="s">
        <v>191</v>
      </c>
    </row>
    <row r="81" spans="1:8" x14ac:dyDescent="0.25">
      <c r="A81" s="10">
        <v>46266</v>
      </c>
      <c r="B81" s="6" t="s">
        <v>43</v>
      </c>
      <c r="C81" s="6" t="s">
        <v>44</v>
      </c>
      <c r="D81" s="6" t="s">
        <v>36</v>
      </c>
      <c r="E81" s="6" t="s">
        <v>192</v>
      </c>
      <c r="F81" s="6" t="s">
        <v>205</v>
      </c>
      <c r="G81" s="11">
        <v>-65000</v>
      </c>
      <c r="H81" s="6" t="s">
        <v>191</v>
      </c>
    </row>
    <row r="82" spans="1:8" x14ac:dyDescent="0.25">
      <c r="A82" s="10">
        <v>46268</v>
      </c>
      <c r="B82" s="6" t="s">
        <v>43</v>
      </c>
      <c r="C82" s="6" t="s">
        <v>44</v>
      </c>
      <c r="D82" s="6" t="s">
        <v>36</v>
      </c>
      <c r="E82" s="6" t="s">
        <v>192</v>
      </c>
      <c r="F82" s="6" t="s">
        <v>206</v>
      </c>
      <c r="G82" s="11">
        <v>-410000</v>
      </c>
      <c r="H82" s="6" t="s">
        <v>191</v>
      </c>
    </row>
    <row r="83" spans="1:8" x14ac:dyDescent="0.25">
      <c r="A83" s="10">
        <v>46269</v>
      </c>
      <c r="B83" s="6" t="s">
        <v>43</v>
      </c>
      <c r="C83" s="6" t="s">
        <v>44</v>
      </c>
      <c r="D83" s="6" t="s">
        <v>36</v>
      </c>
      <c r="E83" s="6" t="s">
        <v>189</v>
      </c>
      <c r="F83" s="6" t="s">
        <v>207</v>
      </c>
      <c r="G83" s="11">
        <v>60000</v>
      </c>
      <c r="H83" s="6" t="s">
        <v>200</v>
      </c>
    </row>
    <row r="84" spans="1:8" x14ac:dyDescent="0.25">
      <c r="A84" s="10">
        <v>46269</v>
      </c>
      <c r="B84" s="6" t="s">
        <v>43</v>
      </c>
      <c r="C84" s="6" t="s">
        <v>44</v>
      </c>
      <c r="D84" s="6" t="s">
        <v>36</v>
      </c>
      <c r="E84" s="6" t="s">
        <v>192</v>
      </c>
      <c r="F84" s="6" t="s">
        <v>207</v>
      </c>
      <c r="G84" s="11">
        <v>-175000</v>
      </c>
      <c r="H84" s="6" t="s">
        <v>191</v>
      </c>
    </row>
    <row r="85" spans="1:8" x14ac:dyDescent="0.25">
      <c r="A85" s="10">
        <v>46270</v>
      </c>
      <c r="B85" s="6" t="s">
        <v>43</v>
      </c>
      <c r="C85" s="6" t="s">
        <v>44</v>
      </c>
      <c r="D85" s="6" t="s">
        <v>36</v>
      </c>
      <c r="E85" s="6" t="s">
        <v>192</v>
      </c>
      <c r="F85" s="6" t="s">
        <v>205</v>
      </c>
      <c r="G85" s="11">
        <v>-90000</v>
      </c>
      <c r="H85" s="6" t="s">
        <v>191</v>
      </c>
    </row>
    <row r="86" spans="1:8" x14ac:dyDescent="0.25">
      <c r="A86" s="10">
        <v>46271</v>
      </c>
      <c r="B86" s="6" t="s">
        <v>43</v>
      </c>
      <c r="C86" s="6" t="s">
        <v>44</v>
      </c>
      <c r="D86" s="6" t="s">
        <v>36</v>
      </c>
      <c r="E86" s="6" t="s">
        <v>189</v>
      </c>
      <c r="F86" s="6" t="s">
        <v>208</v>
      </c>
      <c r="G86" s="11">
        <v>75000</v>
      </c>
      <c r="H86" s="6" t="s">
        <v>200</v>
      </c>
    </row>
    <row r="87" spans="1:8" x14ac:dyDescent="0.25">
      <c r="A87" s="10">
        <v>46271</v>
      </c>
      <c r="B87" s="6" t="s">
        <v>43</v>
      </c>
      <c r="C87" s="6" t="s">
        <v>44</v>
      </c>
      <c r="D87" s="6" t="s">
        <v>36</v>
      </c>
      <c r="E87" s="6" t="s">
        <v>192</v>
      </c>
      <c r="F87" s="6" t="s">
        <v>208</v>
      </c>
      <c r="G87" s="11">
        <v>-70000</v>
      </c>
      <c r="H87" s="6" t="s">
        <v>191</v>
      </c>
    </row>
    <row r="88" spans="1:8" x14ac:dyDescent="0.25">
      <c r="A88" s="10">
        <v>46272</v>
      </c>
      <c r="B88" s="6" t="s">
        <v>43</v>
      </c>
      <c r="C88" s="6" t="s">
        <v>44</v>
      </c>
      <c r="D88" s="6" t="s">
        <v>36</v>
      </c>
      <c r="E88" s="6" t="s">
        <v>192</v>
      </c>
      <c r="F88" s="6" t="s">
        <v>209</v>
      </c>
      <c r="G88" s="11">
        <v>-145000</v>
      </c>
      <c r="H88" s="6" t="s">
        <v>191</v>
      </c>
    </row>
    <row r="89" spans="1:8" x14ac:dyDescent="0.25">
      <c r="A89" s="10">
        <v>46273</v>
      </c>
      <c r="B89" s="6" t="s">
        <v>43</v>
      </c>
      <c r="C89" s="6" t="s">
        <v>44</v>
      </c>
      <c r="D89" s="6" t="s">
        <v>36</v>
      </c>
      <c r="E89" s="6" t="s">
        <v>189</v>
      </c>
      <c r="F89" s="6" t="s">
        <v>208</v>
      </c>
      <c r="G89" s="11">
        <v>90000</v>
      </c>
      <c r="H89" s="6" t="s">
        <v>200</v>
      </c>
    </row>
    <row r="90" spans="1:8" x14ac:dyDescent="0.25">
      <c r="A90" s="10">
        <v>46273</v>
      </c>
      <c r="B90" s="6" t="s">
        <v>43</v>
      </c>
      <c r="C90" s="6" t="s">
        <v>44</v>
      </c>
      <c r="D90" s="6" t="s">
        <v>36</v>
      </c>
      <c r="E90" s="6" t="s">
        <v>192</v>
      </c>
      <c r="F90" s="6" t="s">
        <v>208</v>
      </c>
      <c r="G90" s="11">
        <v>-55000</v>
      </c>
      <c r="H90" s="6" t="s">
        <v>191</v>
      </c>
    </row>
    <row r="91" spans="1:8" x14ac:dyDescent="0.25">
      <c r="A91" s="10">
        <v>46274</v>
      </c>
      <c r="B91" s="6" t="s">
        <v>43</v>
      </c>
      <c r="C91" s="6" t="s">
        <v>44</v>
      </c>
      <c r="D91" s="6" t="s">
        <v>36</v>
      </c>
      <c r="E91" s="6" t="s">
        <v>189</v>
      </c>
      <c r="F91" s="6" t="s">
        <v>208</v>
      </c>
      <c r="G91" s="11">
        <v>50000</v>
      </c>
      <c r="H91" s="6" t="s">
        <v>200</v>
      </c>
    </row>
    <row r="92" spans="1:8" x14ac:dyDescent="0.25">
      <c r="A92" s="10">
        <v>46274</v>
      </c>
      <c r="B92" s="6" t="s">
        <v>43</v>
      </c>
      <c r="C92" s="6" t="s">
        <v>44</v>
      </c>
      <c r="D92" s="6" t="s">
        <v>36</v>
      </c>
      <c r="E92" s="6" t="s">
        <v>192</v>
      </c>
      <c r="F92" s="6" t="s">
        <v>208</v>
      </c>
      <c r="G92" s="11">
        <v>-80000</v>
      </c>
      <c r="H92" s="6" t="s">
        <v>191</v>
      </c>
    </row>
    <row r="93" spans="1:8" x14ac:dyDescent="0.25">
      <c r="A93" s="10">
        <v>46265</v>
      </c>
      <c r="B93" s="6" t="s">
        <v>45</v>
      </c>
      <c r="C93" s="6" t="s">
        <v>46</v>
      </c>
      <c r="D93" s="6" t="s">
        <v>47</v>
      </c>
      <c r="E93" s="6" t="s">
        <v>189</v>
      </c>
      <c r="F93" s="6" t="s">
        <v>210</v>
      </c>
      <c r="G93" s="11">
        <v>90000</v>
      </c>
      <c r="H93" s="6" t="s">
        <v>191</v>
      </c>
    </row>
    <row r="94" spans="1:8" x14ac:dyDescent="0.25">
      <c r="A94" s="10">
        <v>46265</v>
      </c>
      <c r="B94" s="6" t="s">
        <v>45</v>
      </c>
      <c r="C94" s="6" t="s">
        <v>46</v>
      </c>
      <c r="D94" s="6" t="s">
        <v>47</v>
      </c>
      <c r="E94" s="6" t="s">
        <v>192</v>
      </c>
      <c r="F94" s="6" t="s">
        <v>211</v>
      </c>
      <c r="G94" s="11">
        <v>-80000</v>
      </c>
      <c r="H94" s="6" t="s">
        <v>191</v>
      </c>
    </row>
    <row r="95" spans="1:8" x14ac:dyDescent="0.25">
      <c r="A95" s="10">
        <v>46266</v>
      </c>
      <c r="B95" s="6" t="s">
        <v>45</v>
      </c>
      <c r="C95" s="6" t="s">
        <v>46</v>
      </c>
      <c r="D95" s="6" t="s">
        <v>47</v>
      </c>
      <c r="E95" s="6" t="s">
        <v>189</v>
      </c>
      <c r="F95" s="6" t="s">
        <v>210</v>
      </c>
      <c r="G95" s="11">
        <v>105000</v>
      </c>
      <c r="H95" s="6" t="s">
        <v>191</v>
      </c>
    </row>
    <row r="96" spans="1:8" x14ac:dyDescent="0.25">
      <c r="A96" s="10">
        <v>46266</v>
      </c>
      <c r="B96" s="6" t="s">
        <v>45</v>
      </c>
      <c r="C96" s="6" t="s">
        <v>46</v>
      </c>
      <c r="D96" s="6" t="s">
        <v>47</v>
      </c>
      <c r="E96" s="6" t="s">
        <v>192</v>
      </c>
      <c r="F96" s="6" t="s">
        <v>211</v>
      </c>
      <c r="G96" s="11">
        <v>-90000</v>
      </c>
      <c r="H96" s="6" t="s">
        <v>191</v>
      </c>
    </row>
    <row r="97" spans="1:8" x14ac:dyDescent="0.25">
      <c r="A97" s="10">
        <v>46267</v>
      </c>
      <c r="B97" s="6" t="s">
        <v>45</v>
      </c>
      <c r="C97" s="6" t="s">
        <v>46</v>
      </c>
      <c r="D97" s="6" t="s">
        <v>47</v>
      </c>
      <c r="E97" s="6" t="s">
        <v>189</v>
      </c>
      <c r="F97" s="6" t="s">
        <v>210</v>
      </c>
      <c r="G97" s="11">
        <v>120000</v>
      </c>
      <c r="H97" s="6" t="s">
        <v>191</v>
      </c>
    </row>
    <row r="98" spans="1:8" x14ac:dyDescent="0.25">
      <c r="A98" s="10">
        <v>46267</v>
      </c>
      <c r="B98" s="6" t="s">
        <v>45</v>
      </c>
      <c r="C98" s="6" t="s">
        <v>46</v>
      </c>
      <c r="D98" s="6" t="s">
        <v>47</v>
      </c>
      <c r="E98" s="6" t="s">
        <v>192</v>
      </c>
      <c r="F98" s="6" t="s">
        <v>211</v>
      </c>
      <c r="G98" s="11">
        <v>-100000</v>
      </c>
      <c r="H98" s="6" t="s">
        <v>191</v>
      </c>
    </row>
    <row r="99" spans="1:8" x14ac:dyDescent="0.25">
      <c r="A99" s="10">
        <v>46268</v>
      </c>
      <c r="B99" s="6" t="s">
        <v>45</v>
      </c>
      <c r="C99" s="6" t="s">
        <v>46</v>
      </c>
      <c r="D99" s="6" t="s">
        <v>47</v>
      </c>
      <c r="E99" s="6" t="s">
        <v>189</v>
      </c>
      <c r="F99" s="6" t="s">
        <v>210</v>
      </c>
      <c r="G99" s="11">
        <v>90000</v>
      </c>
      <c r="H99" s="6" t="s">
        <v>191</v>
      </c>
    </row>
    <row r="100" spans="1:8" x14ac:dyDescent="0.25">
      <c r="A100" s="10">
        <v>46268</v>
      </c>
      <c r="B100" s="6" t="s">
        <v>45</v>
      </c>
      <c r="C100" s="6" t="s">
        <v>46</v>
      </c>
      <c r="D100" s="6" t="s">
        <v>47</v>
      </c>
      <c r="E100" s="6" t="s">
        <v>192</v>
      </c>
      <c r="F100" s="6" t="s">
        <v>211</v>
      </c>
      <c r="G100" s="11">
        <v>-110000</v>
      </c>
      <c r="H100" s="6" t="s">
        <v>191</v>
      </c>
    </row>
    <row r="101" spans="1:8" x14ac:dyDescent="0.25">
      <c r="A101" s="10">
        <v>46269</v>
      </c>
      <c r="B101" s="6" t="s">
        <v>45</v>
      </c>
      <c r="C101" s="6" t="s">
        <v>46</v>
      </c>
      <c r="D101" s="6" t="s">
        <v>47</v>
      </c>
      <c r="E101" s="6" t="s">
        <v>189</v>
      </c>
      <c r="F101" s="6" t="s">
        <v>210</v>
      </c>
      <c r="G101" s="11">
        <v>105000</v>
      </c>
      <c r="H101" s="6" t="s">
        <v>191</v>
      </c>
    </row>
    <row r="102" spans="1:8" x14ac:dyDescent="0.25">
      <c r="A102" s="10">
        <v>46269</v>
      </c>
      <c r="B102" s="6" t="s">
        <v>45</v>
      </c>
      <c r="C102" s="6" t="s">
        <v>46</v>
      </c>
      <c r="D102" s="6" t="s">
        <v>47</v>
      </c>
      <c r="E102" s="6" t="s">
        <v>192</v>
      </c>
      <c r="F102" s="6" t="s">
        <v>211</v>
      </c>
      <c r="G102" s="11">
        <v>-80000</v>
      </c>
      <c r="H102" s="6" t="s">
        <v>191</v>
      </c>
    </row>
    <row r="103" spans="1:8" x14ac:dyDescent="0.25">
      <c r="A103" s="10">
        <v>46270</v>
      </c>
      <c r="B103" s="6" t="s">
        <v>45</v>
      </c>
      <c r="C103" s="6" t="s">
        <v>46</v>
      </c>
      <c r="D103" s="6" t="s">
        <v>47</v>
      </c>
      <c r="E103" s="6" t="s">
        <v>189</v>
      </c>
      <c r="F103" s="6" t="s">
        <v>210</v>
      </c>
      <c r="G103" s="11">
        <v>120000</v>
      </c>
      <c r="H103" s="6" t="s">
        <v>191</v>
      </c>
    </row>
    <row r="104" spans="1:8" x14ac:dyDescent="0.25">
      <c r="A104" s="10">
        <v>46270</v>
      </c>
      <c r="B104" s="6" t="s">
        <v>45</v>
      </c>
      <c r="C104" s="6" t="s">
        <v>46</v>
      </c>
      <c r="D104" s="6" t="s">
        <v>47</v>
      </c>
      <c r="E104" s="6" t="s">
        <v>192</v>
      </c>
      <c r="F104" s="6" t="s">
        <v>211</v>
      </c>
      <c r="G104" s="11">
        <v>-90000</v>
      </c>
      <c r="H104" s="6" t="s">
        <v>191</v>
      </c>
    </row>
    <row r="105" spans="1:8" x14ac:dyDescent="0.25">
      <c r="A105" s="10">
        <v>46271</v>
      </c>
      <c r="B105" s="6" t="s">
        <v>45</v>
      </c>
      <c r="C105" s="6" t="s">
        <v>46</v>
      </c>
      <c r="D105" s="6" t="s">
        <v>47</v>
      </c>
      <c r="E105" s="6" t="s">
        <v>189</v>
      </c>
      <c r="F105" s="6" t="s">
        <v>210</v>
      </c>
      <c r="G105" s="11">
        <v>90000</v>
      </c>
      <c r="H105" s="6" t="s">
        <v>191</v>
      </c>
    </row>
    <row r="106" spans="1:8" x14ac:dyDescent="0.25">
      <c r="A106" s="10">
        <v>46271</v>
      </c>
      <c r="B106" s="6" t="s">
        <v>45</v>
      </c>
      <c r="C106" s="6" t="s">
        <v>46</v>
      </c>
      <c r="D106" s="6" t="s">
        <v>47</v>
      </c>
      <c r="E106" s="6" t="s">
        <v>192</v>
      </c>
      <c r="F106" s="6" t="s">
        <v>211</v>
      </c>
      <c r="G106" s="11">
        <v>-100000</v>
      </c>
      <c r="H106" s="6" t="s">
        <v>191</v>
      </c>
    </row>
    <row r="107" spans="1:8" x14ac:dyDescent="0.25">
      <c r="A107" s="10">
        <v>46272</v>
      </c>
      <c r="B107" s="6" t="s">
        <v>45</v>
      </c>
      <c r="C107" s="6" t="s">
        <v>46</v>
      </c>
      <c r="D107" s="6" t="s">
        <v>47</v>
      </c>
      <c r="E107" s="6" t="s">
        <v>189</v>
      </c>
      <c r="F107" s="6" t="s">
        <v>210</v>
      </c>
      <c r="G107" s="11">
        <v>105000</v>
      </c>
      <c r="H107" s="6" t="s">
        <v>191</v>
      </c>
    </row>
    <row r="108" spans="1:8" x14ac:dyDescent="0.25">
      <c r="A108" s="10">
        <v>46272</v>
      </c>
      <c r="B108" s="6" t="s">
        <v>45</v>
      </c>
      <c r="C108" s="6" t="s">
        <v>46</v>
      </c>
      <c r="D108" s="6" t="s">
        <v>47</v>
      </c>
      <c r="E108" s="6" t="s">
        <v>192</v>
      </c>
      <c r="F108" s="6" t="s">
        <v>211</v>
      </c>
      <c r="G108" s="11">
        <v>-110000</v>
      </c>
      <c r="H108" s="6" t="s">
        <v>191</v>
      </c>
    </row>
    <row r="109" spans="1:8" x14ac:dyDescent="0.25">
      <c r="A109" s="10">
        <v>46273</v>
      </c>
      <c r="B109" s="6" t="s">
        <v>45</v>
      </c>
      <c r="C109" s="6" t="s">
        <v>46</v>
      </c>
      <c r="D109" s="6" t="s">
        <v>47</v>
      </c>
      <c r="E109" s="6" t="s">
        <v>189</v>
      </c>
      <c r="F109" s="6" t="s">
        <v>210</v>
      </c>
      <c r="G109" s="11">
        <v>120000</v>
      </c>
      <c r="H109" s="6" t="s">
        <v>191</v>
      </c>
    </row>
    <row r="110" spans="1:8" x14ac:dyDescent="0.25">
      <c r="A110" s="10">
        <v>46273</v>
      </c>
      <c r="B110" s="6" t="s">
        <v>45</v>
      </c>
      <c r="C110" s="6" t="s">
        <v>46</v>
      </c>
      <c r="D110" s="6" t="s">
        <v>47</v>
      </c>
      <c r="E110" s="6" t="s">
        <v>192</v>
      </c>
      <c r="F110" s="6" t="s">
        <v>211</v>
      </c>
      <c r="G110" s="11">
        <v>-80000</v>
      </c>
      <c r="H110" s="6" t="s">
        <v>191</v>
      </c>
    </row>
    <row r="111" spans="1:8" x14ac:dyDescent="0.25">
      <c r="A111" s="10">
        <v>46273</v>
      </c>
      <c r="B111" s="6" t="s">
        <v>45</v>
      </c>
      <c r="C111" s="6" t="s">
        <v>46</v>
      </c>
      <c r="D111" s="6" t="s">
        <v>47</v>
      </c>
      <c r="E111" s="6" t="s">
        <v>192</v>
      </c>
      <c r="F111" s="6" t="s">
        <v>212</v>
      </c>
      <c r="G111" s="11">
        <v>-145000</v>
      </c>
      <c r="H111" s="6" t="s">
        <v>191</v>
      </c>
    </row>
    <row r="112" spans="1:8" x14ac:dyDescent="0.25">
      <c r="A112" s="10">
        <v>46274</v>
      </c>
      <c r="B112" s="6" t="s">
        <v>45</v>
      </c>
      <c r="C112" s="6" t="s">
        <v>46</v>
      </c>
      <c r="D112" s="6" t="s">
        <v>47</v>
      </c>
      <c r="E112" s="6" t="s">
        <v>189</v>
      </c>
      <c r="F112" s="6" t="s">
        <v>210</v>
      </c>
      <c r="G112" s="11">
        <v>90000</v>
      </c>
      <c r="H112" s="6" t="s">
        <v>191</v>
      </c>
    </row>
    <row r="113" spans="1:8" x14ac:dyDescent="0.25">
      <c r="A113" s="10">
        <v>46274</v>
      </c>
      <c r="B113" s="6" t="s">
        <v>45</v>
      </c>
      <c r="C113" s="6" t="s">
        <v>46</v>
      </c>
      <c r="D113" s="6" t="s">
        <v>47</v>
      </c>
      <c r="E113" s="6" t="s">
        <v>192</v>
      </c>
      <c r="F113" s="6" t="s">
        <v>211</v>
      </c>
      <c r="G113" s="11">
        <v>-90000</v>
      </c>
      <c r="H113" s="6" t="s">
        <v>191</v>
      </c>
    </row>
    <row r="114" spans="1:8" x14ac:dyDescent="0.25">
      <c r="A114" s="10">
        <v>46265</v>
      </c>
      <c r="B114" s="6" t="s">
        <v>48</v>
      </c>
      <c r="C114" s="6" t="s">
        <v>49</v>
      </c>
      <c r="D114" s="6" t="s">
        <v>50</v>
      </c>
      <c r="E114" s="6" t="s">
        <v>189</v>
      </c>
      <c r="F114" s="6" t="s">
        <v>210</v>
      </c>
      <c r="G114" s="11">
        <v>110000</v>
      </c>
      <c r="H114" s="6" t="s">
        <v>191</v>
      </c>
    </row>
    <row r="115" spans="1:8" x14ac:dyDescent="0.25">
      <c r="A115" s="10">
        <v>46265</v>
      </c>
      <c r="B115" s="6" t="s">
        <v>48</v>
      </c>
      <c r="C115" s="6" t="s">
        <v>49</v>
      </c>
      <c r="D115" s="6" t="s">
        <v>50</v>
      </c>
      <c r="E115" s="6" t="s">
        <v>192</v>
      </c>
      <c r="F115" s="6" t="s">
        <v>211</v>
      </c>
      <c r="G115" s="11">
        <v>-95000</v>
      </c>
      <c r="H115" s="6" t="s">
        <v>191</v>
      </c>
    </row>
    <row r="116" spans="1:8" x14ac:dyDescent="0.25">
      <c r="A116" s="10">
        <v>46266</v>
      </c>
      <c r="B116" s="6" t="s">
        <v>48</v>
      </c>
      <c r="C116" s="6" t="s">
        <v>49</v>
      </c>
      <c r="D116" s="6" t="s">
        <v>50</v>
      </c>
      <c r="E116" s="6" t="s">
        <v>189</v>
      </c>
      <c r="F116" s="6" t="s">
        <v>210</v>
      </c>
      <c r="G116" s="11">
        <v>70000</v>
      </c>
      <c r="H116" s="6" t="s">
        <v>191</v>
      </c>
    </row>
    <row r="117" spans="1:8" x14ac:dyDescent="0.25">
      <c r="A117" s="10">
        <v>46266</v>
      </c>
      <c r="B117" s="6" t="s">
        <v>48</v>
      </c>
      <c r="C117" s="6" t="s">
        <v>49</v>
      </c>
      <c r="D117" s="6" t="s">
        <v>50</v>
      </c>
      <c r="E117" s="6" t="s">
        <v>192</v>
      </c>
      <c r="F117" s="6" t="s">
        <v>211</v>
      </c>
      <c r="G117" s="11">
        <v>-95000</v>
      </c>
      <c r="H117" s="6" t="s">
        <v>191</v>
      </c>
    </row>
    <row r="118" spans="1:8" x14ac:dyDescent="0.25">
      <c r="A118" s="10">
        <v>46266</v>
      </c>
      <c r="B118" s="6" t="s">
        <v>48</v>
      </c>
      <c r="C118" s="6" t="s">
        <v>49</v>
      </c>
      <c r="D118" s="6" t="s">
        <v>50</v>
      </c>
      <c r="E118" s="6" t="s">
        <v>192</v>
      </c>
      <c r="F118" s="6" t="s">
        <v>213</v>
      </c>
      <c r="G118" s="11">
        <v>-2500</v>
      </c>
      <c r="H118" s="6" t="s">
        <v>191</v>
      </c>
    </row>
    <row r="119" spans="1:8" x14ac:dyDescent="0.25">
      <c r="A119" s="10">
        <v>46267</v>
      </c>
      <c r="B119" s="6" t="s">
        <v>48</v>
      </c>
      <c r="C119" s="6" t="s">
        <v>49</v>
      </c>
      <c r="D119" s="6" t="s">
        <v>50</v>
      </c>
      <c r="E119" s="6" t="s">
        <v>189</v>
      </c>
      <c r="F119" s="6" t="s">
        <v>210</v>
      </c>
      <c r="G119" s="11">
        <v>110000</v>
      </c>
      <c r="H119" s="6" t="s">
        <v>191</v>
      </c>
    </row>
    <row r="120" spans="1:8" x14ac:dyDescent="0.25">
      <c r="A120" s="10">
        <v>46267</v>
      </c>
      <c r="B120" s="6" t="s">
        <v>48</v>
      </c>
      <c r="C120" s="6" t="s">
        <v>49</v>
      </c>
      <c r="D120" s="6" t="s">
        <v>50</v>
      </c>
      <c r="E120" s="6" t="s">
        <v>192</v>
      </c>
      <c r="F120" s="6" t="s">
        <v>211</v>
      </c>
      <c r="G120" s="11">
        <v>-95000</v>
      </c>
      <c r="H120" s="6" t="s">
        <v>191</v>
      </c>
    </row>
    <row r="121" spans="1:8" x14ac:dyDescent="0.25">
      <c r="A121" s="10">
        <v>46268</v>
      </c>
      <c r="B121" s="6" t="s">
        <v>48</v>
      </c>
      <c r="C121" s="6" t="s">
        <v>49</v>
      </c>
      <c r="D121" s="6" t="s">
        <v>50</v>
      </c>
      <c r="E121" s="6" t="s">
        <v>189</v>
      </c>
      <c r="F121" s="6" t="s">
        <v>210</v>
      </c>
      <c r="G121" s="11">
        <v>70000</v>
      </c>
      <c r="H121" s="6" t="s">
        <v>191</v>
      </c>
    </row>
    <row r="122" spans="1:8" x14ac:dyDescent="0.25">
      <c r="A122" s="10">
        <v>46268</v>
      </c>
      <c r="B122" s="6" t="s">
        <v>48</v>
      </c>
      <c r="C122" s="6" t="s">
        <v>49</v>
      </c>
      <c r="D122" s="6" t="s">
        <v>50</v>
      </c>
      <c r="E122" s="6" t="s">
        <v>192</v>
      </c>
      <c r="F122" s="6" t="s">
        <v>211</v>
      </c>
      <c r="G122" s="11">
        <v>-95000</v>
      </c>
      <c r="H122" s="6" t="s">
        <v>191</v>
      </c>
    </row>
    <row r="123" spans="1:8" x14ac:dyDescent="0.25">
      <c r="A123" s="10">
        <v>46269</v>
      </c>
      <c r="B123" s="6" t="s">
        <v>48</v>
      </c>
      <c r="C123" s="6" t="s">
        <v>49</v>
      </c>
      <c r="D123" s="6" t="s">
        <v>50</v>
      </c>
      <c r="E123" s="6" t="s">
        <v>189</v>
      </c>
      <c r="F123" s="6" t="s">
        <v>210</v>
      </c>
      <c r="G123" s="11">
        <v>110000</v>
      </c>
      <c r="H123" s="6" t="s">
        <v>191</v>
      </c>
    </row>
    <row r="124" spans="1:8" x14ac:dyDescent="0.25">
      <c r="A124" s="10">
        <v>46269</v>
      </c>
      <c r="B124" s="6" t="s">
        <v>48</v>
      </c>
      <c r="C124" s="6" t="s">
        <v>49</v>
      </c>
      <c r="D124" s="6" t="s">
        <v>50</v>
      </c>
      <c r="E124" s="6" t="s">
        <v>192</v>
      </c>
      <c r="F124" s="6" t="s">
        <v>211</v>
      </c>
      <c r="G124" s="11">
        <v>-95000</v>
      </c>
      <c r="H124" s="6" t="s">
        <v>191</v>
      </c>
    </row>
    <row r="125" spans="1:8" x14ac:dyDescent="0.25">
      <c r="A125" s="10">
        <v>46270</v>
      </c>
      <c r="B125" s="6" t="s">
        <v>48</v>
      </c>
      <c r="C125" s="6" t="s">
        <v>49</v>
      </c>
      <c r="D125" s="6" t="s">
        <v>50</v>
      </c>
      <c r="E125" s="6" t="s">
        <v>189</v>
      </c>
      <c r="F125" s="6" t="s">
        <v>210</v>
      </c>
      <c r="G125" s="11">
        <v>70000</v>
      </c>
      <c r="H125" s="6" t="s">
        <v>191</v>
      </c>
    </row>
    <row r="126" spans="1:8" x14ac:dyDescent="0.25">
      <c r="A126" s="10">
        <v>46270</v>
      </c>
      <c r="B126" s="6" t="s">
        <v>48</v>
      </c>
      <c r="C126" s="6" t="s">
        <v>49</v>
      </c>
      <c r="D126" s="6" t="s">
        <v>50</v>
      </c>
      <c r="E126" s="6" t="s">
        <v>192</v>
      </c>
      <c r="F126" s="6" t="s">
        <v>211</v>
      </c>
      <c r="G126" s="11">
        <v>-95000</v>
      </c>
      <c r="H126" s="6" t="s">
        <v>191</v>
      </c>
    </row>
    <row r="127" spans="1:8" x14ac:dyDescent="0.25">
      <c r="A127" s="10">
        <v>46271</v>
      </c>
      <c r="B127" s="6" t="s">
        <v>48</v>
      </c>
      <c r="C127" s="6" t="s">
        <v>49</v>
      </c>
      <c r="D127" s="6" t="s">
        <v>50</v>
      </c>
      <c r="E127" s="6" t="s">
        <v>189</v>
      </c>
      <c r="F127" s="6" t="s">
        <v>210</v>
      </c>
      <c r="G127" s="11">
        <v>110000</v>
      </c>
      <c r="H127" s="6" t="s">
        <v>191</v>
      </c>
    </row>
    <row r="128" spans="1:8" x14ac:dyDescent="0.25">
      <c r="A128" s="10">
        <v>46271</v>
      </c>
      <c r="B128" s="6" t="s">
        <v>48</v>
      </c>
      <c r="C128" s="6" t="s">
        <v>49</v>
      </c>
      <c r="D128" s="6" t="s">
        <v>50</v>
      </c>
      <c r="E128" s="6" t="s">
        <v>192</v>
      </c>
      <c r="F128" s="6" t="s">
        <v>211</v>
      </c>
      <c r="G128" s="11">
        <v>-95000</v>
      </c>
      <c r="H128" s="6" t="s">
        <v>191</v>
      </c>
    </row>
    <row r="129" spans="1:8" x14ac:dyDescent="0.25">
      <c r="A129" s="10">
        <v>46272</v>
      </c>
      <c r="B129" s="6" t="s">
        <v>48</v>
      </c>
      <c r="C129" s="6" t="s">
        <v>49</v>
      </c>
      <c r="D129" s="6" t="s">
        <v>50</v>
      </c>
      <c r="E129" s="6" t="s">
        <v>189</v>
      </c>
      <c r="F129" s="6" t="s">
        <v>210</v>
      </c>
      <c r="G129" s="11">
        <v>70000</v>
      </c>
      <c r="H129" s="6" t="s">
        <v>191</v>
      </c>
    </row>
    <row r="130" spans="1:8" x14ac:dyDescent="0.25">
      <c r="A130" s="10">
        <v>46272</v>
      </c>
      <c r="B130" s="6" t="s">
        <v>48</v>
      </c>
      <c r="C130" s="6" t="s">
        <v>49</v>
      </c>
      <c r="D130" s="6" t="s">
        <v>50</v>
      </c>
      <c r="E130" s="6" t="s">
        <v>192</v>
      </c>
      <c r="F130" s="6" t="s">
        <v>211</v>
      </c>
      <c r="G130" s="11">
        <v>-95000</v>
      </c>
      <c r="H130" s="6" t="s">
        <v>191</v>
      </c>
    </row>
    <row r="131" spans="1:8" x14ac:dyDescent="0.25">
      <c r="A131" s="10">
        <v>46273</v>
      </c>
      <c r="B131" s="6" t="s">
        <v>48</v>
      </c>
      <c r="C131" s="6" t="s">
        <v>49</v>
      </c>
      <c r="D131" s="6" t="s">
        <v>50</v>
      </c>
      <c r="E131" s="6" t="s">
        <v>189</v>
      </c>
      <c r="F131" s="6" t="s">
        <v>210</v>
      </c>
      <c r="G131" s="11">
        <v>110000</v>
      </c>
      <c r="H131" s="6" t="s">
        <v>191</v>
      </c>
    </row>
    <row r="132" spans="1:8" x14ac:dyDescent="0.25">
      <c r="A132" s="10">
        <v>46273</v>
      </c>
      <c r="B132" s="6" t="s">
        <v>48</v>
      </c>
      <c r="C132" s="6" t="s">
        <v>49</v>
      </c>
      <c r="D132" s="6" t="s">
        <v>50</v>
      </c>
      <c r="E132" s="6" t="s">
        <v>192</v>
      </c>
      <c r="F132" s="6" t="s">
        <v>211</v>
      </c>
      <c r="G132" s="11">
        <v>-95000</v>
      </c>
      <c r="H132" s="6" t="s">
        <v>191</v>
      </c>
    </row>
    <row r="133" spans="1:8" x14ac:dyDescent="0.25">
      <c r="A133" s="10">
        <v>46274</v>
      </c>
      <c r="B133" s="6" t="s">
        <v>48</v>
      </c>
      <c r="C133" s="6" t="s">
        <v>49</v>
      </c>
      <c r="D133" s="6" t="s">
        <v>50</v>
      </c>
      <c r="E133" s="6" t="s">
        <v>189</v>
      </c>
      <c r="F133" s="6" t="s">
        <v>210</v>
      </c>
      <c r="G133" s="11">
        <v>70000</v>
      </c>
      <c r="H133" s="6" t="s">
        <v>191</v>
      </c>
    </row>
    <row r="134" spans="1:8" x14ac:dyDescent="0.25">
      <c r="A134" s="10">
        <v>46274</v>
      </c>
      <c r="B134" s="6" t="s">
        <v>48</v>
      </c>
      <c r="C134" s="6" t="s">
        <v>49</v>
      </c>
      <c r="D134" s="6" t="s">
        <v>50</v>
      </c>
      <c r="E134" s="6" t="s">
        <v>192</v>
      </c>
      <c r="F134" s="6" t="s">
        <v>211</v>
      </c>
      <c r="G134" s="11">
        <v>-95000</v>
      </c>
      <c r="H134" s="6" t="s">
        <v>191</v>
      </c>
    </row>
    <row r="135" spans="1:8" x14ac:dyDescent="0.25">
      <c r="A135" s="10">
        <v>46274</v>
      </c>
      <c r="B135" s="6" t="s">
        <v>48</v>
      </c>
      <c r="C135" s="6" t="s">
        <v>49</v>
      </c>
      <c r="D135" s="6" t="s">
        <v>50</v>
      </c>
      <c r="E135" s="6" t="s">
        <v>192</v>
      </c>
      <c r="F135" s="6" t="s">
        <v>214</v>
      </c>
      <c r="G135" s="11">
        <v>-275000</v>
      </c>
      <c r="H135" s="6" t="s">
        <v>200</v>
      </c>
    </row>
  </sheetData>
  <mergeCells count="2">
    <mergeCell ref="A2:H2"/>
    <mergeCell ref="A1:H1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4"/>
  <sheetViews>
    <sheetView showGridLines="0" workbookViewId="0">
      <selection sqref="A1:P1"/>
    </sheetView>
  </sheetViews>
  <sheetFormatPr defaultRowHeight="15" x14ac:dyDescent="0.25"/>
  <cols>
    <col min="1" max="1" width="14" customWidth="1"/>
    <col min="2" max="2" width="13" customWidth="1"/>
    <col min="3" max="3" width="11" customWidth="1"/>
    <col min="4" max="4" width="25" customWidth="1"/>
    <col min="5" max="5" width="10" customWidth="1"/>
    <col min="6" max="6" width="14" customWidth="1"/>
    <col min="7" max="9" width="22" customWidth="1"/>
    <col min="10" max="11" width="20" customWidth="1"/>
    <col min="12" max="15" width="22" customWidth="1"/>
    <col min="16" max="16" width="18" customWidth="1"/>
  </cols>
  <sheetData>
    <row r="1" spans="1:16" ht="26.1" customHeight="1" x14ac:dyDescent="0.25">
      <c r="A1" s="22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6" ht="30" customHeight="1" x14ac:dyDescent="0.25">
      <c r="A2" s="20" t="s">
        <v>216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</row>
    <row r="4" spans="1:16" ht="32.1" customHeight="1" x14ac:dyDescent="0.25">
      <c r="A4" s="1" t="s">
        <v>167</v>
      </c>
      <c r="B4" s="1" t="s">
        <v>185</v>
      </c>
      <c r="C4" s="1" t="s">
        <v>26</v>
      </c>
      <c r="D4" s="1" t="s">
        <v>56</v>
      </c>
      <c r="E4" s="1" t="s">
        <v>28</v>
      </c>
      <c r="F4" s="1" t="s">
        <v>217</v>
      </c>
      <c r="G4" s="1" t="s">
        <v>218</v>
      </c>
      <c r="H4" s="1" t="s">
        <v>219</v>
      </c>
      <c r="I4" s="1" t="s">
        <v>220</v>
      </c>
      <c r="J4" s="1" t="s">
        <v>221</v>
      </c>
      <c r="K4" s="1" t="s">
        <v>222</v>
      </c>
      <c r="L4" s="1" t="s">
        <v>223</v>
      </c>
      <c r="M4" s="1" t="s">
        <v>224</v>
      </c>
      <c r="N4" s="1" t="s">
        <v>225</v>
      </c>
      <c r="O4" s="1" t="s">
        <v>226</v>
      </c>
      <c r="P4" s="1" t="s">
        <v>125</v>
      </c>
    </row>
    <row r="5" spans="1:16" x14ac:dyDescent="0.25">
      <c r="A5" s="12" t="s">
        <v>174</v>
      </c>
      <c r="B5" s="9">
        <v>46265</v>
      </c>
      <c r="C5" s="12" t="s">
        <v>34</v>
      </c>
      <c r="D5" s="12" t="s">
        <v>35</v>
      </c>
      <c r="E5" s="12" t="s">
        <v>36</v>
      </c>
      <c r="F5" s="13">
        <f>SUMIF('Approved FX'!$A$5:$A$7,E5,'Approved FX'!$B$5:$B$7)</f>
        <v>1</v>
      </c>
      <c r="G5" s="8">
        <f>SUMIFS('Opening Balances'!$I$5:$I$14,'Opening Balances'!$B$5:$B$14,C5)</f>
        <v>2400000</v>
      </c>
      <c r="H5" s="8">
        <f>SUMIFS('Cash Flow Ledger'!$G$5:$G$135,'Cash Flow Ledger'!$A$5:$A$135,B5,'Cash Flow Ledger'!$B$5:$B$135,C5)</f>
        <v>0</v>
      </c>
      <c r="I5" s="8">
        <f>IF(AND(C5="E004",B5=SUMIF('Scenario Assumptions'!$A$5:$A$7,A5,'Scenario Assumptions'!$B$5:$B$7)),SUMIF('Scenario Assumptions'!$A$5:$A$7,A5,'Scenario Assumptions'!$C$5:$C$7),0)</f>
        <v>0</v>
      </c>
      <c r="J5" s="8">
        <f>IF(AND(C5="E004",B5=SUMIF('Scenario Assumptions'!$A$5:$A$7,A5,'Scenario Assumptions'!$D$5:$D$7)), -SUMIF('Scenario Assumptions'!$A$5:$A$7,A5,'Scenario Assumptions'!$E$5:$E$7),0)</f>
        <v>0</v>
      </c>
      <c r="K5" s="5">
        <v>0</v>
      </c>
      <c r="L5" s="8">
        <f t="shared" ref="L5:L36" si="0">G5+H5+I5+J5+K5</f>
        <v>2400000</v>
      </c>
      <c r="M5" s="8">
        <f>SUMIF(Entities!$A$5:$A$10,C5,Entities!$D$5:$D$10)</f>
        <v>750000</v>
      </c>
      <c r="N5" s="8">
        <f t="shared" ref="N5:N36" si="1">L5-M5</f>
        <v>1650000</v>
      </c>
      <c r="O5" s="8">
        <f t="shared" ref="O5:O36" si="2">L5*F5</f>
        <v>2400000</v>
      </c>
      <c r="P5" t="str">
        <f t="shared" ref="P5:P36" si="3">IF(L5&lt;0,"NEGATIVE",IF(L5&lt;M5,"BELOW MINIMUM","OK"))</f>
        <v>OK</v>
      </c>
    </row>
    <row r="6" spans="1:16" x14ac:dyDescent="0.25">
      <c r="A6" s="12" t="s">
        <v>174</v>
      </c>
      <c r="B6" s="9">
        <v>46266</v>
      </c>
      <c r="C6" s="12" t="s">
        <v>34</v>
      </c>
      <c r="D6" s="12" t="s">
        <v>35</v>
      </c>
      <c r="E6" s="12" t="s">
        <v>36</v>
      </c>
      <c r="F6" s="13">
        <f>SUMIF('Approved FX'!$A$5:$A$7,E6,'Approved FX'!$B$5:$B$7)</f>
        <v>1</v>
      </c>
      <c r="G6" s="8">
        <f t="shared" ref="G6:G14" si="4">L5</f>
        <v>2400000</v>
      </c>
      <c r="H6" s="8">
        <f>SUMIFS('Cash Flow Ledger'!$G$5:$G$135,'Cash Flow Ledger'!$A$5:$A$135,B6,'Cash Flow Ledger'!$B$5:$B$135,C6)</f>
        <v>0</v>
      </c>
      <c r="I6" s="8">
        <f>IF(AND(C6="E004",B6=SUMIF('Scenario Assumptions'!$A$5:$A$7,A6,'Scenario Assumptions'!$B$5:$B$7)),SUMIF('Scenario Assumptions'!$A$5:$A$7,A6,'Scenario Assumptions'!$C$5:$C$7),0)</f>
        <v>0</v>
      </c>
      <c r="J6" s="8">
        <f>IF(AND(C6="E004",B6=SUMIF('Scenario Assumptions'!$A$5:$A$7,A6,'Scenario Assumptions'!$D$5:$D$7)), -SUMIF('Scenario Assumptions'!$A$5:$A$7,A6,'Scenario Assumptions'!$E$5:$E$7),0)</f>
        <v>0</v>
      </c>
      <c r="K6" s="5">
        <v>0</v>
      </c>
      <c r="L6" s="8">
        <f t="shared" si="0"/>
        <v>2400000</v>
      </c>
      <c r="M6" s="8">
        <f>SUMIF(Entities!$A$5:$A$10,C6,Entities!$D$5:$D$10)</f>
        <v>750000</v>
      </c>
      <c r="N6" s="8">
        <f t="shared" si="1"/>
        <v>1650000</v>
      </c>
      <c r="O6" s="8">
        <f t="shared" si="2"/>
        <v>2400000</v>
      </c>
      <c r="P6" t="str">
        <f t="shared" si="3"/>
        <v>OK</v>
      </c>
    </row>
    <row r="7" spans="1:16" x14ac:dyDescent="0.25">
      <c r="A7" s="12" t="s">
        <v>174</v>
      </c>
      <c r="B7" s="9">
        <v>46267</v>
      </c>
      <c r="C7" s="12" t="s">
        <v>34</v>
      </c>
      <c r="D7" s="12" t="s">
        <v>35</v>
      </c>
      <c r="E7" s="12" t="s">
        <v>36</v>
      </c>
      <c r="F7" s="13">
        <f>SUMIF('Approved FX'!$A$5:$A$7,E7,'Approved FX'!$B$5:$B$7)</f>
        <v>1</v>
      </c>
      <c r="G7" s="8">
        <f t="shared" si="4"/>
        <v>2400000</v>
      </c>
      <c r="H7" s="8">
        <f>SUMIFS('Cash Flow Ledger'!$G$5:$G$135,'Cash Flow Ledger'!$A$5:$A$135,B7,'Cash Flow Ledger'!$B$5:$B$135,C7)</f>
        <v>170000</v>
      </c>
      <c r="I7" s="8">
        <f>IF(AND(C7="E004",B7=SUMIF('Scenario Assumptions'!$A$5:$A$7,A7,'Scenario Assumptions'!$B$5:$B$7)),SUMIF('Scenario Assumptions'!$A$5:$A$7,A7,'Scenario Assumptions'!$C$5:$C$7),0)</f>
        <v>0</v>
      </c>
      <c r="J7" s="8">
        <f>IF(AND(C7="E004",B7=SUMIF('Scenario Assumptions'!$A$5:$A$7,A7,'Scenario Assumptions'!$D$5:$D$7)), -SUMIF('Scenario Assumptions'!$A$5:$A$7,A7,'Scenario Assumptions'!$E$5:$E$7),0)</f>
        <v>0</v>
      </c>
      <c r="K7" s="5">
        <v>0</v>
      </c>
      <c r="L7" s="8">
        <f t="shared" si="0"/>
        <v>2570000</v>
      </c>
      <c r="M7" s="8">
        <f>SUMIF(Entities!$A$5:$A$10,C7,Entities!$D$5:$D$10)</f>
        <v>750000</v>
      </c>
      <c r="N7" s="8">
        <f t="shared" si="1"/>
        <v>1820000</v>
      </c>
      <c r="O7" s="8">
        <f t="shared" si="2"/>
        <v>2570000</v>
      </c>
      <c r="P7" t="str">
        <f t="shared" si="3"/>
        <v>OK</v>
      </c>
    </row>
    <row r="8" spans="1:16" x14ac:dyDescent="0.25">
      <c r="A8" s="12" t="s">
        <v>174</v>
      </c>
      <c r="B8" s="9">
        <v>46268</v>
      </c>
      <c r="C8" s="12" t="s">
        <v>34</v>
      </c>
      <c r="D8" s="12" t="s">
        <v>35</v>
      </c>
      <c r="E8" s="12" t="s">
        <v>36</v>
      </c>
      <c r="F8" s="13">
        <f>SUMIF('Approved FX'!$A$5:$A$7,E8,'Approved FX'!$B$5:$B$7)</f>
        <v>1</v>
      </c>
      <c r="G8" s="8">
        <f t="shared" si="4"/>
        <v>2570000</v>
      </c>
      <c r="H8" s="8">
        <f>SUMIFS('Cash Flow Ledger'!$G$5:$G$135,'Cash Flow Ledger'!$A$5:$A$135,B8,'Cash Flow Ledger'!$B$5:$B$135,C8)</f>
        <v>0</v>
      </c>
      <c r="I8" s="8">
        <f>IF(AND(C8="E004",B8=SUMIF('Scenario Assumptions'!$A$5:$A$7,A8,'Scenario Assumptions'!$B$5:$B$7)),SUMIF('Scenario Assumptions'!$A$5:$A$7,A8,'Scenario Assumptions'!$C$5:$C$7),0)</f>
        <v>0</v>
      </c>
      <c r="J8" s="8">
        <f>IF(AND(C8="E004",B8=SUMIF('Scenario Assumptions'!$A$5:$A$7,A8,'Scenario Assumptions'!$D$5:$D$7)), -SUMIF('Scenario Assumptions'!$A$5:$A$7,A8,'Scenario Assumptions'!$E$5:$E$7),0)</f>
        <v>0</v>
      </c>
      <c r="K8" s="5">
        <v>0</v>
      </c>
      <c r="L8" s="8">
        <f t="shared" si="0"/>
        <v>2570000</v>
      </c>
      <c r="M8" s="8">
        <f>SUMIF(Entities!$A$5:$A$10,C8,Entities!$D$5:$D$10)</f>
        <v>750000</v>
      </c>
      <c r="N8" s="8">
        <f t="shared" si="1"/>
        <v>1820000</v>
      </c>
      <c r="O8" s="8">
        <f t="shared" si="2"/>
        <v>2570000</v>
      </c>
      <c r="P8" t="str">
        <f t="shared" si="3"/>
        <v>OK</v>
      </c>
    </row>
    <row r="9" spans="1:16" x14ac:dyDescent="0.25">
      <c r="A9" s="12" t="s">
        <v>174</v>
      </c>
      <c r="B9" s="9">
        <v>46269</v>
      </c>
      <c r="C9" s="12" t="s">
        <v>34</v>
      </c>
      <c r="D9" s="12" t="s">
        <v>35</v>
      </c>
      <c r="E9" s="12" t="s">
        <v>36</v>
      </c>
      <c r="F9" s="13">
        <f>SUMIF('Approved FX'!$A$5:$A$7,E9,'Approved FX'!$B$5:$B$7)</f>
        <v>1</v>
      </c>
      <c r="G9" s="8">
        <f t="shared" si="4"/>
        <v>2570000</v>
      </c>
      <c r="H9" s="8">
        <f>SUMIFS('Cash Flow Ledger'!$G$5:$G$135,'Cash Flow Ledger'!$A$5:$A$135,B9,'Cash Flow Ledger'!$B$5:$B$135,C9)</f>
        <v>-450000</v>
      </c>
      <c r="I9" s="8">
        <f>IF(AND(C9="E004",B9=SUMIF('Scenario Assumptions'!$A$5:$A$7,A9,'Scenario Assumptions'!$B$5:$B$7)),SUMIF('Scenario Assumptions'!$A$5:$A$7,A9,'Scenario Assumptions'!$C$5:$C$7),0)</f>
        <v>0</v>
      </c>
      <c r="J9" s="8">
        <f>IF(AND(C9="E004",B9=SUMIF('Scenario Assumptions'!$A$5:$A$7,A9,'Scenario Assumptions'!$D$5:$D$7)), -SUMIF('Scenario Assumptions'!$A$5:$A$7,A9,'Scenario Assumptions'!$E$5:$E$7),0)</f>
        <v>0</v>
      </c>
      <c r="K9" s="5">
        <v>0</v>
      </c>
      <c r="L9" s="8">
        <f t="shared" si="0"/>
        <v>2120000</v>
      </c>
      <c r="M9" s="8">
        <f>SUMIF(Entities!$A$5:$A$10,C9,Entities!$D$5:$D$10)</f>
        <v>750000</v>
      </c>
      <c r="N9" s="8">
        <f t="shared" si="1"/>
        <v>1370000</v>
      </c>
      <c r="O9" s="8">
        <f t="shared" si="2"/>
        <v>2120000</v>
      </c>
      <c r="P9" t="str">
        <f t="shared" si="3"/>
        <v>OK</v>
      </c>
    </row>
    <row r="10" spans="1:16" x14ac:dyDescent="0.25">
      <c r="A10" s="12" t="s">
        <v>174</v>
      </c>
      <c r="B10" s="9">
        <v>46270</v>
      </c>
      <c r="C10" s="12" t="s">
        <v>34</v>
      </c>
      <c r="D10" s="12" t="s">
        <v>35</v>
      </c>
      <c r="E10" s="12" t="s">
        <v>36</v>
      </c>
      <c r="F10" s="13">
        <f>SUMIF('Approved FX'!$A$5:$A$7,E10,'Approved FX'!$B$5:$B$7)</f>
        <v>1</v>
      </c>
      <c r="G10" s="8">
        <f t="shared" si="4"/>
        <v>2120000</v>
      </c>
      <c r="H10" s="8">
        <f>SUMIFS('Cash Flow Ledger'!$G$5:$G$135,'Cash Flow Ledger'!$A$5:$A$135,B10,'Cash Flow Ledger'!$B$5:$B$135,C10)</f>
        <v>0</v>
      </c>
      <c r="I10" s="8">
        <f>IF(AND(C10="E004",B10=SUMIF('Scenario Assumptions'!$A$5:$A$7,A10,'Scenario Assumptions'!$B$5:$B$7)),SUMIF('Scenario Assumptions'!$A$5:$A$7,A10,'Scenario Assumptions'!$C$5:$C$7),0)</f>
        <v>0</v>
      </c>
      <c r="J10" s="8">
        <f>IF(AND(C10="E004",B10=SUMIF('Scenario Assumptions'!$A$5:$A$7,A10,'Scenario Assumptions'!$D$5:$D$7)), -SUMIF('Scenario Assumptions'!$A$5:$A$7,A10,'Scenario Assumptions'!$E$5:$E$7),0)</f>
        <v>0</v>
      </c>
      <c r="K10" s="5">
        <v>0</v>
      </c>
      <c r="L10" s="8">
        <f t="shared" si="0"/>
        <v>2120000</v>
      </c>
      <c r="M10" s="8">
        <f>SUMIF(Entities!$A$5:$A$10,C10,Entities!$D$5:$D$10)</f>
        <v>750000</v>
      </c>
      <c r="N10" s="8">
        <f t="shared" si="1"/>
        <v>1370000</v>
      </c>
      <c r="O10" s="8">
        <f t="shared" si="2"/>
        <v>2120000</v>
      </c>
      <c r="P10" t="str">
        <f t="shared" si="3"/>
        <v>OK</v>
      </c>
    </row>
    <row r="11" spans="1:16" x14ac:dyDescent="0.25">
      <c r="A11" s="12" t="s">
        <v>174</v>
      </c>
      <c r="B11" s="9">
        <v>46271</v>
      </c>
      <c r="C11" s="12" t="s">
        <v>34</v>
      </c>
      <c r="D11" s="12" t="s">
        <v>35</v>
      </c>
      <c r="E11" s="12" t="s">
        <v>36</v>
      </c>
      <c r="F11" s="13">
        <f>SUMIF('Approved FX'!$A$5:$A$7,E11,'Approved FX'!$B$5:$B$7)</f>
        <v>1</v>
      </c>
      <c r="G11" s="8">
        <f t="shared" si="4"/>
        <v>2120000</v>
      </c>
      <c r="H11" s="8">
        <f>SUMIFS('Cash Flow Ledger'!$G$5:$G$135,'Cash Flow Ledger'!$A$5:$A$135,B11,'Cash Flow Ledger'!$B$5:$B$135,C11)</f>
        <v>0</v>
      </c>
      <c r="I11" s="8">
        <f>IF(AND(C11="E004",B11=SUMIF('Scenario Assumptions'!$A$5:$A$7,A11,'Scenario Assumptions'!$B$5:$B$7)),SUMIF('Scenario Assumptions'!$A$5:$A$7,A11,'Scenario Assumptions'!$C$5:$C$7),0)</f>
        <v>0</v>
      </c>
      <c r="J11" s="8">
        <f>IF(AND(C11="E004",B11=SUMIF('Scenario Assumptions'!$A$5:$A$7,A11,'Scenario Assumptions'!$D$5:$D$7)), -SUMIF('Scenario Assumptions'!$A$5:$A$7,A11,'Scenario Assumptions'!$E$5:$E$7),0)</f>
        <v>0</v>
      </c>
      <c r="K11" s="5">
        <v>0</v>
      </c>
      <c r="L11" s="8">
        <f t="shared" si="0"/>
        <v>2120000</v>
      </c>
      <c r="M11" s="8">
        <f>SUMIF(Entities!$A$5:$A$10,C11,Entities!$D$5:$D$10)</f>
        <v>750000</v>
      </c>
      <c r="N11" s="8">
        <f t="shared" si="1"/>
        <v>1370000</v>
      </c>
      <c r="O11" s="8">
        <f t="shared" si="2"/>
        <v>2120000</v>
      </c>
      <c r="P11" t="str">
        <f t="shared" si="3"/>
        <v>OK</v>
      </c>
    </row>
    <row r="12" spans="1:16" x14ac:dyDescent="0.25">
      <c r="A12" s="12" t="s">
        <v>174</v>
      </c>
      <c r="B12" s="9">
        <v>46272</v>
      </c>
      <c r="C12" s="12" t="s">
        <v>34</v>
      </c>
      <c r="D12" s="12" t="s">
        <v>35</v>
      </c>
      <c r="E12" s="12" t="s">
        <v>36</v>
      </c>
      <c r="F12" s="13">
        <f>SUMIF('Approved FX'!$A$5:$A$7,E12,'Approved FX'!$B$5:$B$7)</f>
        <v>1</v>
      </c>
      <c r="G12" s="8">
        <f t="shared" si="4"/>
        <v>2120000</v>
      </c>
      <c r="H12" s="8">
        <f>SUMIFS('Cash Flow Ledger'!$G$5:$G$135,'Cash Flow Ledger'!$A$5:$A$135,B12,'Cash Flow Ledger'!$B$5:$B$135,C12)</f>
        <v>170000</v>
      </c>
      <c r="I12" s="8">
        <f>IF(AND(C12="E004",B12=SUMIF('Scenario Assumptions'!$A$5:$A$7,A12,'Scenario Assumptions'!$B$5:$B$7)),SUMIF('Scenario Assumptions'!$A$5:$A$7,A12,'Scenario Assumptions'!$C$5:$C$7),0)</f>
        <v>0</v>
      </c>
      <c r="J12" s="8">
        <f>IF(AND(C12="E004",B12=SUMIF('Scenario Assumptions'!$A$5:$A$7,A12,'Scenario Assumptions'!$D$5:$D$7)), -SUMIF('Scenario Assumptions'!$A$5:$A$7,A12,'Scenario Assumptions'!$E$5:$E$7),0)</f>
        <v>0</v>
      </c>
      <c r="K12" s="5">
        <v>0</v>
      </c>
      <c r="L12" s="8">
        <f t="shared" si="0"/>
        <v>2290000</v>
      </c>
      <c r="M12" s="8">
        <f>SUMIF(Entities!$A$5:$A$10,C12,Entities!$D$5:$D$10)</f>
        <v>750000</v>
      </c>
      <c r="N12" s="8">
        <f t="shared" si="1"/>
        <v>1540000</v>
      </c>
      <c r="O12" s="8">
        <f t="shared" si="2"/>
        <v>2290000</v>
      </c>
      <c r="P12" t="str">
        <f t="shared" si="3"/>
        <v>OK</v>
      </c>
    </row>
    <row r="13" spans="1:16" x14ac:dyDescent="0.25">
      <c r="A13" s="12" t="s">
        <v>174</v>
      </c>
      <c r="B13" s="9">
        <v>46273</v>
      </c>
      <c r="C13" s="12" t="s">
        <v>34</v>
      </c>
      <c r="D13" s="12" t="s">
        <v>35</v>
      </c>
      <c r="E13" s="12" t="s">
        <v>36</v>
      </c>
      <c r="F13" s="13">
        <f>SUMIF('Approved FX'!$A$5:$A$7,E13,'Approved FX'!$B$5:$B$7)</f>
        <v>1</v>
      </c>
      <c r="G13" s="8">
        <f t="shared" si="4"/>
        <v>2290000</v>
      </c>
      <c r="H13" s="8">
        <f>SUMIFS('Cash Flow Ledger'!$G$5:$G$135,'Cash Flow Ledger'!$A$5:$A$135,B13,'Cash Flow Ledger'!$B$5:$B$135,C13)</f>
        <v>0</v>
      </c>
      <c r="I13" s="8">
        <f>IF(AND(C13="E004",B13=SUMIF('Scenario Assumptions'!$A$5:$A$7,A13,'Scenario Assumptions'!$B$5:$B$7)),SUMIF('Scenario Assumptions'!$A$5:$A$7,A13,'Scenario Assumptions'!$C$5:$C$7),0)</f>
        <v>0</v>
      </c>
      <c r="J13" s="8">
        <f>IF(AND(C13="E004",B13=SUMIF('Scenario Assumptions'!$A$5:$A$7,A13,'Scenario Assumptions'!$D$5:$D$7)), -SUMIF('Scenario Assumptions'!$A$5:$A$7,A13,'Scenario Assumptions'!$E$5:$E$7),0)</f>
        <v>0</v>
      </c>
      <c r="K13" s="5">
        <v>0</v>
      </c>
      <c r="L13" s="8">
        <f t="shared" si="0"/>
        <v>2290000</v>
      </c>
      <c r="M13" s="8">
        <f>SUMIF(Entities!$A$5:$A$10,C13,Entities!$D$5:$D$10)</f>
        <v>750000</v>
      </c>
      <c r="N13" s="8">
        <f t="shared" si="1"/>
        <v>1540000</v>
      </c>
      <c r="O13" s="8">
        <f t="shared" si="2"/>
        <v>2290000</v>
      </c>
      <c r="P13" t="str">
        <f t="shared" si="3"/>
        <v>OK</v>
      </c>
    </row>
    <row r="14" spans="1:16" x14ac:dyDescent="0.25">
      <c r="A14" s="12" t="s">
        <v>174</v>
      </c>
      <c r="B14" s="9">
        <v>46274</v>
      </c>
      <c r="C14" s="12" t="s">
        <v>34</v>
      </c>
      <c r="D14" s="12" t="s">
        <v>35</v>
      </c>
      <c r="E14" s="12" t="s">
        <v>36</v>
      </c>
      <c r="F14" s="13">
        <f>SUMIF('Approved FX'!$A$5:$A$7,E14,'Approved FX'!$B$5:$B$7)</f>
        <v>1</v>
      </c>
      <c r="G14" s="8">
        <f t="shared" si="4"/>
        <v>2290000</v>
      </c>
      <c r="H14" s="8">
        <f>SUMIFS('Cash Flow Ledger'!$G$5:$G$135,'Cash Flow Ledger'!$A$5:$A$135,B14,'Cash Flow Ledger'!$B$5:$B$135,C14)</f>
        <v>0</v>
      </c>
      <c r="I14" s="8">
        <f>IF(AND(C14="E004",B14=SUMIF('Scenario Assumptions'!$A$5:$A$7,A14,'Scenario Assumptions'!$B$5:$B$7)),SUMIF('Scenario Assumptions'!$A$5:$A$7,A14,'Scenario Assumptions'!$C$5:$C$7),0)</f>
        <v>0</v>
      </c>
      <c r="J14" s="8">
        <f>IF(AND(C14="E004",B14=SUMIF('Scenario Assumptions'!$A$5:$A$7,A14,'Scenario Assumptions'!$D$5:$D$7)), -SUMIF('Scenario Assumptions'!$A$5:$A$7,A14,'Scenario Assumptions'!$E$5:$E$7),0)</f>
        <v>0</v>
      </c>
      <c r="K14" s="5">
        <v>0</v>
      </c>
      <c r="L14" s="8">
        <f t="shared" si="0"/>
        <v>2290000</v>
      </c>
      <c r="M14" s="8">
        <f>SUMIF(Entities!$A$5:$A$10,C14,Entities!$D$5:$D$10)</f>
        <v>750000</v>
      </c>
      <c r="N14" s="8">
        <f t="shared" si="1"/>
        <v>1540000</v>
      </c>
      <c r="O14" s="8">
        <f t="shared" si="2"/>
        <v>2290000</v>
      </c>
      <c r="P14" t="str">
        <f t="shared" si="3"/>
        <v>OK</v>
      </c>
    </row>
    <row r="15" spans="1:16" x14ac:dyDescent="0.25">
      <c r="A15" s="12" t="s">
        <v>174</v>
      </c>
      <c r="B15" s="9">
        <v>46265</v>
      </c>
      <c r="C15" s="12" t="s">
        <v>38</v>
      </c>
      <c r="D15" s="12" t="s">
        <v>39</v>
      </c>
      <c r="E15" s="12" t="s">
        <v>36</v>
      </c>
      <c r="F15" s="13">
        <f>SUMIF('Approved FX'!$A$5:$A$7,E15,'Approved FX'!$B$5:$B$7)</f>
        <v>1</v>
      </c>
      <c r="G15" s="8">
        <f>SUMIFS('Opening Balances'!$I$5:$I$14,'Opening Balances'!$B$5:$B$14,C15)</f>
        <v>1581000</v>
      </c>
      <c r="H15" s="8">
        <f>SUMIFS('Cash Flow Ledger'!$G$5:$G$135,'Cash Flow Ledger'!$A$5:$A$135,B15,'Cash Flow Ledger'!$B$5:$B$135,C15)</f>
        <v>40000</v>
      </c>
      <c r="I15" s="8">
        <f>IF(AND(C15="E004",B15=SUMIF('Scenario Assumptions'!$A$5:$A$7,A15,'Scenario Assumptions'!$B$5:$B$7)),SUMIF('Scenario Assumptions'!$A$5:$A$7,A15,'Scenario Assumptions'!$C$5:$C$7),0)</f>
        <v>0</v>
      </c>
      <c r="J15" s="8">
        <f>IF(AND(C15="E004",B15=SUMIF('Scenario Assumptions'!$A$5:$A$7,A15,'Scenario Assumptions'!$D$5:$D$7)), -SUMIF('Scenario Assumptions'!$A$5:$A$7,A15,'Scenario Assumptions'!$E$5:$E$7),0)</f>
        <v>0</v>
      </c>
      <c r="K15" s="5">
        <v>0</v>
      </c>
      <c r="L15" s="8">
        <f t="shared" si="0"/>
        <v>1621000</v>
      </c>
      <c r="M15" s="8">
        <f>SUMIF(Entities!$A$5:$A$10,C15,Entities!$D$5:$D$10)</f>
        <v>500000</v>
      </c>
      <c r="N15" s="8">
        <f t="shared" si="1"/>
        <v>1121000</v>
      </c>
      <c r="O15" s="8">
        <f t="shared" si="2"/>
        <v>1621000</v>
      </c>
      <c r="P15" t="str">
        <f t="shared" si="3"/>
        <v>OK</v>
      </c>
    </row>
    <row r="16" spans="1:16" x14ac:dyDescent="0.25">
      <c r="A16" s="12" t="s">
        <v>174</v>
      </c>
      <c r="B16" s="9">
        <v>46266</v>
      </c>
      <c r="C16" s="12" t="s">
        <v>38</v>
      </c>
      <c r="D16" s="12" t="s">
        <v>39</v>
      </c>
      <c r="E16" s="12" t="s">
        <v>36</v>
      </c>
      <c r="F16" s="13">
        <f>SUMIF('Approved FX'!$A$5:$A$7,E16,'Approved FX'!$B$5:$B$7)</f>
        <v>1</v>
      </c>
      <c r="G16" s="8">
        <f t="shared" ref="G16:G24" si="5">L15</f>
        <v>1621000</v>
      </c>
      <c r="H16" s="8">
        <f>SUMIFS('Cash Flow Ledger'!$G$5:$G$135,'Cash Flow Ledger'!$A$5:$A$135,B16,'Cash Flow Ledger'!$B$5:$B$135,C16)</f>
        <v>30000</v>
      </c>
      <c r="I16" s="8">
        <f>IF(AND(C16="E004",B16=SUMIF('Scenario Assumptions'!$A$5:$A$7,A16,'Scenario Assumptions'!$B$5:$B$7)),SUMIF('Scenario Assumptions'!$A$5:$A$7,A16,'Scenario Assumptions'!$C$5:$C$7),0)</f>
        <v>0</v>
      </c>
      <c r="J16" s="8">
        <f>IF(AND(C16="E004",B16=SUMIF('Scenario Assumptions'!$A$5:$A$7,A16,'Scenario Assumptions'!$D$5:$D$7)), -SUMIF('Scenario Assumptions'!$A$5:$A$7,A16,'Scenario Assumptions'!$E$5:$E$7),0)</f>
        <v>0</v>
      </c>
      <c r="K16" s="5">
        <v>0</v>
      </c>
      <c r="L16" s="8">
        <f t="shared" si="0"/>
        <v>1651000</v>
      </c>
      <c r="M16" s="8">
        <f>SUMIF(Entities!$A$5:$A$10,C16,Entities!$D$5:$D$10)</f>
        <v>500000</v>
      </c>
      <c r="N16" s="8">
        <f t="shared" si="1"/>
        <v>1151000</v>
      </c>
      <c r="O16" s="8">
        <f t="shared" si="2"/>
        <v>1651000</v>
      </c>
      <c r="P16" t="str">
        <f t="shared" si="3"/>
        <v>OK</v>
      </c>
    </row>
    <row r="17" spans="1:16" x14ac:dyDescent="0.25">
      <c r="A17" s="12" t="s">
        <v>174</v>
      </c>
      <c r="B17" s="9">
        <v>46267</v>
      </c>
      <c r="C17" s="12" t="s">
        <v>38</v>
      </c>
      <c r="D17" s="12" t="s">
        <v>39</v>
      </c>
      <c r="E17" s="12" t="s">
        <v>36</v>
      </c>
      <c r="F17" s="13">
        <f>SUMIF('Approved FX'!$A$5:$A$7,E17,'Approved FX'!$B$5:$B$7)</f>
        <v>1</v>
      </c>
      <c r="G17" s="8">
        <f t="shared" si="5"/>
        <v>1651000</v>
      </c>
      <c r="H17" s="8">
        <f>SUMIFS('Cash Flow Ledger'!$G$5:$G$135,'Cash Flow Ledger'!$A$5:$A$135,B17,'Cash Flow Ledger'!$B$5:$B$135,C17)</f>
        <v>-30000</v>
      </c>
      <c r="I17" s="8">
        <f>IF(AND(C17="E004",B17=SUMIF('Scenario Assumptions'!$A$5:$A$7,A17,'Scenario Assumptions'!$B$5:$B$7)),SUMIF('Scenario Assumptions'!$A$5:$A$7,A17,'Scenario Assumptions'!$C$5:$C$7),0)</f>
        <v>0</v>
      </c>
      <c r="J17" s="8">
        <f>IF(AND(C17="E004",B17=SUMIF('Scenario Assumptions'!$A$5:$A$7,A17,'Scenario Assumptions'!$D$5:$D$7)), -SUMIF('Scenario Assumptions'!$A$5:$A$7,A17,'Scenario Assumptions'!$E$5:$E$7),0)</f>
        <v>0</v>
      </c>
      <c r="K17" s="5">
        <v>0</v>
      </c>
      <c r="L17" s="8">
        <f t="shared" si="0"/>
        <v>1621000</v>
      </c>
      <c r="M17" s="8">
        <f>SUMIF(Entities!$A$5:$A$10,C17,Entities!$D$5:$D$10)</f>
        <v>500000</v>
      </c>
      <c r="N17" s="8">
        <f t="shared" si="1"/>
        <v>1121000</v>
      </c>
      <c r="O17" s="8">
        <f t="shared" si="2"/>
        <v>1621000</v>
      </c>
      <c r="P17" t="str">
        <f t="shared" si="3"/>
        <v>OK</v>
      </c>
    </row>
    <row r="18" spans="1:16" x14ac:dyDescent="0.25">
      <c r="A18" s="12" t="s">
        <v>174</v>
      </c>
      <c r="B18" s="9">
        <v>46268</v>
      </c>
      <c r="C18" s="12" t="s">
        <v>38</v>
      </c>
      <c r="D18" s="12" t="s">
        <v>39</v>
      </c>
      <c r="E18" s="12" t="s">
        <v>36</v>
      </c>
      <c r="F18" s="13">
        <f>SUMIF('Approved FX'!$A$5:$A$7,E18,'Approved FX'!$B$5:$B$7)</f>
        <v>1</v>
      </c>
      <c r="G18" s="8">
        <f t="shared" si="5"/>
        <v>1621000</v>
      </c>
      <c r="H18" s="8">
        <f>SUMIFS('Cash Flow Ledger'!$G$5:$G$135,'Cash Flow Ledger'!$A$5:$A$135,B18,'Cash Flow Ledger'!$B$5:$B$135,C18)</f>
        <v>15000</v>
      </c>
      <c r="I18" s="8">
        <f>IF(AND(C18="E004",B18=SUMIF('Scenario Assumptions'!$A$5:$A$7,A18,'Scenario Assumptions'!$B$5:$B$7)),SUMIF('Scenario Assumptions'!$A$5:$A$7,A18,'Scenario Assumptions'!$C$5:$C$7),0)</f>
        <v>0</v>
      </c>
      <c r="J18" s="8">
        <f>IF(AND(C18="E004",B18=SUMIF('Scenario Assumptions'!$A$5:$A$7,A18,'Scenario Assumptions'!$D$5:$D$7)), -SUMIF('Scenario Assumptions'!$A$5:$A$7,A18,'Scenario Assumptions'!$E$5:$E$7),0)</f>
        <v>0</v>
      </c>
      <c r="K18" s="5">
        <v>0</v>
      </c>
      <c r="L18" s="8">
        <f t="shared" si="0"/>
        <v>1636000</v>
      </c>
      <c r="M18" s="8">
        <f>SUMIF(Entities!$A$5:$A$10,C18,Entities!$D$5:$D$10)</f>
        <v>500000</v>
      </c>
      <c r="N18" s="8">
        <f t="shared" si="1"/>
        <v>1136000</v>
      </c>
      <c r="O18" s="8">
        <f t="shared" si="2"/>
        <v>1636000</v>
      </c>
      <c r="P18" t="str">
        <f t="shared" si="3"/>
        <v>OK</v>
      </c>
    </row>
    <row r="19" spans="1:16" x14ac:dyDescent="0.25">
      <c r="A19" s="12" t="s">
        <v>174</v>
      </c>
      <c r="B19" s="9">
        <v>46269</v>
      </c>
      <c r="C19" s="12" t="s">
        <v>38</v>
      </c>
      <c r="D19" s="12" t="s">
        <v>39</v>
      </c>
      <c r="E19" s="12" t="s">
        <v>36</v>
      </c>
      <c r="F19" s="13">
        <f>SUMIF('Approved FX'!$A$5:$A$7,E19,'Approved FX'!$B$5:$B$7)</f>
        <v>1</v>
      </c>
      <c r="G19" s="8">
        <f t="shared" si="5"/>
        <v>1636000</v>
      </c>
      <c r="H19" s="8">
        <f>SUMIFS('Cash Flow Ledger'!$G$5:$G$135,'Cash Flow Ledger'!$A$5:$A$135,B19,'Cash Flow Ledger'!$B$5:$B$135,C19)</f>
        <v>40000</v>
      </c>
      <c r="I19" s="8">
        <f>IF(AND(C19="E004",B19=SUMIF('Scenario Assumptions'!$A$5:$A$7,A19,'Scenario Assumptions'!$B$5:$B$7)),SUMIF('Scenario Assumptions'!$A$5:$A$7,A19,'Scenario Assumptions'!$C$5:$C$7),0)</f>
        <v>0</v>
      </c>
      <c r="J19" s="8">
        <f>IF(AND(C19="E004",B19=SUMIF('Scenario Assumptions'!$A$5:$A$7,A19,'Scenario Assumptions'!$D$5:$D$7)), -SUMIF('Scenario Assumptions'!$A$5:$A$7,A19,'Scenario Assumptions'!$E$5:$E$7),0)</f>
        <v>0</v>
      </c>
      <c r="K19" s="5">
        <v>0</v>
      </c>
      <c r="L19" s="8">
        <f t="shared" si="0"/>
        <v>1676000</v>
      </c>
      <c r="M19" s="8">
        <f>SUMIF(Entities!$A$5:$A$10,C19,Entities!$D$5:$D$10)</f>
        <v>500000</v>
      </c>
      <c r="N19" s="8">
        <f t="shared" si="1"/>
        <v>1176000</v>
      </c>
      <c r="O19" s="8">
        <f t="shared" si="2"/>
        <v>1676000</v>
      </c>
      <c r="P19" t="str">
        <f t="shared" si="3"/>
        <v>OK</v>
      </c>
    </row>
    <row r="20" spans="1:16" x14ac:dyDescent="0.25">
      <c r="A20" s="12" t="s">
        <v>174</v>
      </c>
      <c r="B20" s="9">
        <v>46270</v>
      </c>
      <c r="C20" s="12" t="s">
        <v>38</v>
      </c>
      <c r="D20" s="12" t="s">
        <v>39</v>
      </c>
      <c r="E20" s="12" t="s">
        <v>36</v>
      </c>
      <c r="F20" s="13">
        <f>SUMIF('Approved FX'!$A$5:$A$7,E20,'Approved FX'!$B$5:$B$7)</f>
        <v>1</v>
      </c>
      <c r="G20" s="8">
        <f t="shared" si="5"/>
        <v>1676000</v>
      </c>
      <c r="H20" s="8">
        <f>SUMIFS('Cash Flow Ledger'!$G$5:$G$135,'Cash Flow Ledger'!$A$5:$A$135,B20,'Cash Flow Ledger'!$B$5:$B$135,C20)</f>
        <v>0</v>
      </c>
      <c r="I20" s="8">
        <f>IF(AND(C20="E004",B20=SUMIF('Scenario Assumptions'!$A$5:$A$7,A20,'Scenario Assumptions'!$B$5:$B$7)),SUMIF('Scenario Assumptions'!$A$5:$A$7,A20,'Scenario Assumptions'!$C$5:$C$7),0)</f>
        <v>0</v>
      </c>
      <c r="J20" s="8">
        <f>IF(AND(C20="E004",B20=SUMIF('Scenario Assumptions'!$A$5:$A$7,A20,'Scenario Assumptions'!$D$5:$D$7)), -SUMIF('Scenario Assumptions'!$A$5:$A$7,A20,'Scenario Assumptions'!$E$5:$E$7),0)</f>
        <v>0</v>
      </c>
      <c r="K20" s="5">
        <v>0</v>
      </c>
      <c r="L20" s="8">
        <f t="shared" si="0"/>
        <v>1676000</v>
      </c>
      <c r="M20" s="8">
        <f>SUMIF(Entities!$A$5:$A$10,C20,Entities!$D$5:$D$10)</f>
        <v>500000</v>
      </c>
      <c r="N20" s="8">
        <f t="shared" si="1"/>
        <v>1176000</v>
      </c>
      <c r="O20" s="8">
        <f t="shared" si="2"/>
        <v>1676000</v>
      </c>
      <c r="P20" t="str">
        <f t="shared" si="3"/>
        <v>OK</v>
      </c>
    </row>
    <row r="21" spans="1:16" x14ac:dyDescent="0.25">
      <c r="A21" s="12" t="s">
        <v>174</v>
      </c>
      <c r="B21" s="9">
        <v>46271</v>
      </c>
      <c r="C21" s="12" t="s">
        <v>38</v>
      </c>
      <c r="D21" s="12" t="s">
        <v>39</v>
      </c>
      <c r="E21" s="12" t="s">
        <v>36</v>
      </c>
      <c r="F21" s="13">
        <f>SUMIF('Approved FX'!$A$5:$A$7,E21,'Approved FX'!$B$5:$B$7)</f>
        <v>1</v>
      </c>
      <c r="G21" s="8">
        <f t="shared" si="5"/>
        <v>1676000</v>
      </c>
      <c r="H21" s="8">
        <f>SUMIFS('Cash Flow Ledger'!$G$5:$G$135,'Cash Flow Ledger'!$A$5:$A$135,B21,'Cash Flow Ledger'!$B$5:$B$135,C21)</f>
        <v>45000</v>
      </c>
      <c r="I21" s="8">
        <f>IF(AND(C21="E004",B21=SUMIF('Scenario Assumptions'!$A$5:$A$7,A21,'Scenario Assumptions'!$B$5:$B$7)),SUMIF('Scenario Assumptions'!$A$5:$A$7,A21,'Scenario Assumptions'!$C$5:$C$7),0)</f>
        <v>0</v>
      </c>
      <c r="J21" s="8">
        <f>IF(AND(C21="E004",B21=SUMIF('Scenario Assumptions'!$A$5:$A$7,A21,'Scenario Assumptions'!$D$5:$D$7)), -SUMIF('Scenario Assumptions'!$A$5:$A$7,A21,'Scenario Assumptions'!$E$5:$E$7),0)</f>
        <v>0</v>
      </c>
      <c r="K21" s="5">
        <v>0</v>
      </c>
      <c r="L21" s="8">
        <f t="shared" si="0"/>
        <v>1721000</v>
      </c>
      <c r="M21" s="8">
        <f>SUMIF(Entities!$A$5:$A$10,C21,Entities!$D$5:$D$10)</f>
        <v>500000</v>
      </c>
      <c r="N21" s="8">
        <f t="shared" si="1"/>
        <v>1221000</v>
      </c>
      <c r="O21" s="8">
        <f t="shared" si="2"/>
        <v>1721000</v>
      </c>
      <c r="P21" t="str">
        <f t="shared" si="3"/>
        <v>OK</v>
      </c>
    </row>
    <row r="22" spans="1:16" x14ac:dyDescent="0.25">
      <c r="A22" s="12" t="s">
        <v>174</v>
      </c>
      <c r="B22" s="9">
        <v>46272</v>
      </c>
      <c r="C22" s="12" t="s">
        <v>38</v>
      </c>
      <c r="D22" s="12" t="s">
        <v>39</v>
      </c>
      <c r="E22" s="12" t="s">
        <v>36</v>
      </c>
      <c r="F22" s="13">
        <f>SUMIF('Approved FX'!$A$5:$A$7,E22,'Approved FX'!$B$5:$B$7)</f>
        <v>1</v>
      </c>
      <c r="G22" s="8">
        <f t="shared" si="5"/>
        <v>1721000</v>
      </c>
      <c r="H22" s="8">
        <f>SUMIFS('Cash Flow Ledger'!$G$5:$G$135,'Cash Flow Ledger'!$A$5:$A$135,B22,'Cash Flow Ledger'!$B$5:$B$135,C22)</f>
        <v>80000</v>
      </c>
      <c r="I22" s="8">
        <f>IF(AND(C22="E004",B22=SUMIF('Scenario Assumptions'!$A$5:$A$7,A22,'Scenario Assumptions'!$B$5:$B$7)),SUMIF('Scenario Assumptions'!$A$5:$A$7,A22,'Scenario Assumptions'!$C$5:$C$7),0)</f>
        <v>0</v>
      </c>
      <c r="J22" s="8">
        <f>IF(AND(C22="E004",B22=SUMIF('Scenario Assumptions'!$A$5:$A$7,A22,'Scenario Assumptions'!$D$5:$D$7)), -SUMIF('Scenario Assumptions'!$A$5:$A$7,A22,'Scenario Assumptions'!$E$5:$E$7),0)</f>
        <v>0</v>
      </c>
      <c r="K22" s="5">
        <v>0</v>
      </c>
      <c r="L22" s="8">
        <f t="shared" si="0"/>
        <v>1801000</v>
      </c>
      <c r="M22" s="8">
        <f>SUMIF(Entities!$A$5:$A$10,C22,Entities!$D$5:$D$10)</f>
        <v>500000</v>
      </c>
      <c r="N22" s="8">
        <f t="shared" si="1"/>
        <v>1301000</v>
      </c>
      <c r="O22" s="8">
        <f t="shared" si="2"/>
        <v>1801000</v>
      </c>
      <c r="P22" t="str">
        <f t="shared" si="3"/>
        <v>OK</v>
      </c>
    </row>
    <row r="23" spans="1:16" x14ac:dyDescent="0.25">
      <c r="A23" s="12" t="s">
        <v>174</v>
      </c>
      <c r="B23" s="9">
        <v>46273</v>
      </c>
      <c r="C23" s="12" t="s">
        <v>38</v>
      </c>
      <c r="D23" s="12" t="s">
        <v>39</v>
      </c>
      <c r="E23" s="12" t="s">
        <v>36</v>
      </c>
      <c r="F23" s="13">
        <f>SUMIF('Approved FX'!$A$5:$A$7,E23,'Approved FX'!$B$5:$B$7)</f>
        <v>1</v>
      </c>
      <c r="G23" s="8">
        <f t="shared" si="5"/>
        <v>1801000</v>
      </c>
      <c r="H23" s="8">
        <f>SUMIFS('Cash Flow Ledger'!$G$5:$G$135,'Cash Flow Ledger'!$A$5:$A$135,B23,'Cash Flow Ledger'!$B$5:$B$135,C23)</f>
        <v>30000</v>
      </c>
      <c r="I23" s="8">
        <f>IF(AND(C23="E004",B23=SUMIF('Scenario Assumptions'!$A$5:$A$7,A23,'Scenario Assumptions'!$B$5:$B$7)),SUMIF('Scenario Assumptions'!$A$5:$A$7,A23,'Scenario Assumptions'!$C$5:$C$7),0)</f>
        <v>0</v>
      </c>
      <c r="J23" s="8">
        <f>IF(AND(C23="E004",B23=SUMIF('Scenario Assumptions'!$A$5:$A$7,A23,'Scenario Assumptions'!$D$5:$D$7)), -SUMIF('Scenario Assumptions'!$A$5:$A$7,A23,'Scenario Assumptions'!$E$5:$E$7),0)</f>
        <v>0</v>
      </c>
      <c r="K23" s="5">
        <v>0</v>
      </c>
      <c r="L23" s="8">
        <f t="shared" si="0"/>
        <v>1831000</v>
      </c>
      <c r="M23" s="8">
        <f>SUMIF(Entities!$A$5:$A$10,C23,Entities!$D$5:$D$10)</f>
        <v>500000</v>
      </c>
      <c r="N23" s="8">
        <f t="shared" si="1"/>
        <v>1331000</v>
      </c>
      <c r="O23" s="8">
        <f t="shared" si="2"/>
        <v>1831000</v>
      </c>
      <c r="P23" t="str">
        <f t="shared" si="3"/>
        <v>OK</v>
      </c>
    </row>
    <row r="24" spans="1:16" x14ac:dyDescent="0.25">
      <c r="A24" s="12" t="s">
        <v>174</v>
      </c>
      <c r="B24" s="9">
        <v>46274</v>
      </c>
      <c r="C24" s="12" t="s">
        <v>38</v>
      </c>
      <c r="D24" s="12" t="s">
        <v>39</v>
      </c>
      <c r="E24" s="12" t="s">
        <v>36</v>
      </c>
      <c r="F24" s="13">
        <f>SUMIF('Approved FX'!$A$5:$A$7,E24,'Approved FX'!$B$5:$B$7)</f>
        <v>1</v>
      </c>
      <c r="G24" s="8">
        <f t="shared" si="5"/>
        <v>1831000</v>
      </c>
      <c r="H24" s="8">
        <f>SUMIFS('Cash Flow Ledger'!$G$5:$G$135,'Cash Flow Ledger'!$A$5:$A$135,B24,'Cash Flow Ledger'!$B$5:$B$135,C24)</f>
        <v>30000</v>
      </c>
      <c r="I24" s="8">
        <f>IF(AND(C24="E004",B24=SUMIF('Scenario Assumptions'!$A$5:$A$7,A24,'Scenario Assumptions'!$B$5:$B$7)),SUMIF('Scenario Assumptions'!$A$5:$A$7,A24,'Scenario Assumptions'!$C$5:$C$7),0)</f>
        <v>0</v>
      </c>
      <c r="J24" s="8">
        <f>IF(AND(C24="E004",B24=SUMIF('Scenario Assumptions'!$A$5:$A$7,A24,'Scenario Assumptions'!$D$5:$D$7)), -SUMIF('Scenario Assumptions'!$A$5:$A$7,A24,'Scenario Assumptions'!$E$5:$E$7),0)</f>
        <v>0</v>
      </c>
      <c r="K24" s="5">
        <v>0</v>
      </c>
      <c r="L24" s="8">
        <f t="shared" si="0"/>
        <v>1861000</v>
      </c>
      <c r="M24" s="8">
        <f>SUMIF(Entities!$A$5:$A$10,C24,Entities!$D$5:$D$10)</f>
        <v>500000</v>
      </c>
      <c r="N24" s="8">
        <f t="shared" si="1"/>
        <v>1361000</v>
      </c>
      <c r="O24" s="8">
        <f t="shared" si="2"/>
        <v>1861000</v>
      </c>
      <c r="P24" t="str">
        <f t="shared" si="3"/>
        <v>OK</v>
      </c>
    </row>
    <row r="25" spans="1:16" x14ac:dyDescent="0.25">
      <c r="A25" s="12" t="s">
        <v>174</v>
      </c>
      <c r="B25" s="9">
        <v>46265</v>
      </c>
      <c r="C25" s="12" t="s">
        <v>40</v>
      </c>
      <c r="D25" s="12" t="s">
        <v>41</v>
      </c>
      <c r="E25" s="12" t="s">
        <v>36</v>
      </c>
      <c r="F25" s="13">
        <f>SUMIF('Approved FX'!$A$5:$A$7,E25,'Approved FX'!$B$5:$B$7)</f>
        <v>1</v>
      </c>
      <c r="G25" s="8">
        <f>SUMIFS('Opening Balances'!$I$5:$I$14,'Opening Balances'!$B$5:$B$14,C25)</f>
        <v>555750</v>
      </c>
      <c r="H25" s="8">
        <f>SUMIFS('Cash Flow Ledger'!$G$5:$G$135,'Cash Flow Ledger'!$A$5:$A$135,B25,'Cash Flow Ledger'!$B$5:$B$135,C25)</f>
        <v>265000</v>
      </c>
      <c r="I25" s="8">
        <f>IF(AND(C25="E004",B25=SUMIF('Scenario Assumptions'!$A$5:$A$7,A25,'Scenario Assumptions'!$B$5:$B$7)),SUMIF('Scenario Assumptions'!$A$5:$A$7,A25,'Scenario Assumptions'!$C$5:$C$7),0)</f>
        <v>0</v>
      </c>
      <c r="J25" s="8">
        <f>IF(AND(C25="E004",B25=SUMIF('Scenario Assumptions'!$A$5:$A$7,A25,'Scenario Assumptions'!$D$5:$D$7)), -SUMIF('Scenario Assumptions'!$A$5:$A$7,A25,'Scenario Assumptions'!$E$5:$E$7),0)</f>
        <v>0</v>
      </c>
      <c r="K25" s="5">
        <v>0</v>
      </c>
      <c r="L25" s="8">
        <f t="shared" si="0"/>
        <v>820750</v>
      </c>
      <c r="M25" s="8">
        <f>SUMIF(Entities!$A$5:$A$10,C25,Entities!$D$5:$D$10)</f>
        <v>150000</v>
      </c>
      <c r="N25" s="8">
        <f t="shared" si="1"/>
        <v>670750</v>
      </c>
      <c r="O25" s="8">
        <f t="shared" si="2"/>
        <v>820750</v>
      </c>
      <c r="P25" t="str">
        <f t="shared" si="3"/>
        <v>OK</v>
      </c>
    </row>
    <row r="26" spans="1:16" x14ac:dyDescent="0.25">
      <c r="A26" s="12" t="s">
        <v>174</v>
      </c>
      <c r="B26" s="9">
        <v>46266</v>
      </c>
      <c r="C26" s="12" t="s">
        <v>40</v>
      </c>
      <c r="D26" s="12" t="s">
        <v>41</v>
      </c>
      <c r="E26" s="12" t="s">
        <v>36</v>
      </c>
      <c r="F26" s="13">
        <f>SUMIF('Approved FX'!$A$5:$A$7,E26,'Approved FX'!$B$5:$B$7)</f>
        <v>1</v>
      </c>
      <c r="G26" s="8">
        <f t="shared" ref="G26:G34" si="6">L25</f>
        <v>820750</v>
      </c>
      <c r="H26" s="8">
        <f>SUMIFS('Cash Flow Ledger'!$G$5:$G$135,'Cash Flow Ledger'!$A$5:$A$135,B26,'Cash Flow Ledger'!$B$5:$B$135,C26)</f>
        <v>-205000</v>
      </c>
      <c r="I26" s="8">
        <f>IF(AND(C26="E004",B26=SUMIF('Scenario Assumptions'!$A$5:$A$7,A26,'Scenario Assumptions'!$B$5:$B$7)),SUMIF('Scenario Assumptions'!$A$5:$A$7,A26,'Scenario Assumptions'!$C$5:$C$7),0)</f>
        <v>0</v>
      </c>
      <c r="J26" s="8">
        <f>IF(AND(C26="E004",B26=SUMIF('Scenario Assumptions'!$A$5:$A$7,A26,'Scenario Assumptions'!$D$5:$D$7)), -SUMIF('Scenario Assumptions'!$A$5:$A$7,A26,'Scenario Assumptions'!$E$5:$E$7),0)</f>
        <v>0</v>
      </c>
      <c r="K26" s="5">
        <v>0</v>
      </c>
      <c r="L26" s="8">
        <f t="shared" si="0"/>
        <v>615750</v>
      </c>
      <c r="M26" s="8">
        <f>SUMIF(Entities!$A$5:$A$10,C26,Entities!$D$5:$D$10)</f>
        <v>150000</v>
      </c>
      <c r="N26" s="8">
        <f t="shared" si="1"/>
        <v>465750</v>
      </c>
      <c r="O26" s="8">
        <f t="shared" si="2"/>
        <v>615750</v>
      </c>
      <c r="P26" t="str">
        <f t="shared" si="3"/>
        <v>OK</v>
      </c>
    </row>
    <row r="27" spans="1:16" x14ac:dyDescent="0.25">
      <c r="A27" s="12" t="s">
        <v>174</v>
      </c>
      <c r="B27" s="9">
        <v>46267</v>
      </c>
      <c r="C27" s="12" t="s">
        <v>40</v>
      </c>
      <c r="D27" s="12" t="s">
        <v>41</v>
      </c>
      <c r="E27" s="12" t="s">
        <v>36</v>
      </c>
      <c r="F27" s="13">
        <f>SUMIF('Approved FX'!$A$5:$A$7,E27,'Approved FX'!$B$5:$B$7)</f>
        <v>1</v>
      </c>
      <c r="G27" s="8">
        <f t="shared" si="6"/>
        <v>615750</v>
      </c>
      <c r="H27" s="8">
        <f>SUMIFS('Cash Flow Ledger'!$G$5:$G$135,'Cash Flow Ledger'!$A$5:$A$135,B27,'Cash Flow Ledger'!$B$5:$B$135,C27)</f>
        <v>15000</v>
      </c>
      <c r="I27" s="8">
        <f>IF(AND(C27="E004",B27=SUMIF('Scenario Assumptions'!$A$5:$A$7,A27,'Scenario Assumptions'!$B$5:$B$7)),SUMIF('Scenario Assumptions'!$A$5:$A$7,A27,'Scenario Assumptions'!$C$5:$C$7),0)</f>
        <v>0</v>
      </c>
      <c r="J27" s="8">
        <f>IF(AND(C27="E004",B27=SUMIF('Scenario Assumptions'!$A$5:$A$7,A27,'Scenario Assumptions'!$D$5:$D$7)), -SUMIF('Scenario Assumptions'!$A$5:$A$7,A27,'Scenario Assumptions'!$E$5:$E$7),0)</f>
        <v>0</v>
      </c>
      <c r="K27" s="5">
        <v>0</v>
      </c>
      <c r="L27" s="8">
        <f t="shared" si="0"/>
        <v>630750</v>
      </c>
      <c r="M27" s="8">
        <f>SUMIF(Entities!$A$5:$A$10,C27,Entities!$D$5:$D$10)</f>
        <v>150000</v>
      </c>
      <c r="N27" s="8">
        <f t="shared" si="1"/>
        <v>480750</v>
      </c>
      <c r="O27" s="8">
        <f t="shared" si="2"/>
        <v>630750</v>
      </c>
      <c r="P27" t="str">
        <f t="shared" si="3"/>
        <v>OK</v>
      </c>
    </row>
    <row r="28" spans="1:16" x14ac:dyDescent="0.25">
      <c r="A28" s="12" t="s">
        <v>174</v>
      </c>
      <c r="B28" s="9">
        <v>46268</v>
      </c>
      <c r="C28" s="12" t="s">
        <v>40</v>
      </c>
      <c r="D28" s="12" t="s">
        <v>41</v>
      </c>
      <c r="E28" s="12" t="s">
        <v>36</v>
      </c>
      <c r="F28" s="13">
        <f>SUMIF('Approved FX'!$A$5:$A$7,E28,'Approved FX'!$B$5:$B$7)</f>
        <v>1</v>
      </c>
      <c r="G28" s="8">
        <f t="shared" si="6"/>
        <v>630750</v>
      </c>
      <c r="H28" s="8">
        <f>SUMIFS('Cash Flow Ledger'!$G$5:$G$135,'Cash Flow Ledger'!$A$5:$A$135,B28,'Cash Flow Ledger'!$B$5:$B$135,C28)</f>
        <v>15000</v>
      </c>
      <c r="I28" s="8">
        <f>IF(AND(C28="E004",B28=SUMIF('Scenario Assumptions'!$A$5:$A$7,A28,'Scenario Assumptions'!$B$5:$B$7)),SUMIF('Scenario Assumptions'!$A$5:$A$7,A28,'Scenario Assumptions'!$C$5:$C$7),0)</f>
        <v>0</v>
      </c>
      <c r="J28" s="8">
        <f>IF(AND(C28="E004",B28=SUMIF('Scenario Assumptions'!$A$5:$A$7,A28,'Scenario Assumptions'!$D$5:$D$7)), -SUMIF('Scenario Assumptions'!$A$5:$A$7,A28,'Scenario Assumptions'!$E$5:$E$7),0)</f>
        <v>0</v>
      </c>
      <c r="K28" s="5">
        <v>0</v>
      </c>
      <c r="L28" s="8">
        <f t="shared" si="0"/>
        <v>645750</v>
      </c>
      <c r="M28" s="8">
        <f>SUMIF(Entities!$A$5:$A$10,C28,Entities!$D$5:$D$10)</f>
        <v>150000</v>
      </c>
      <c r="N28" s="8">
        <f t="shared" si="1"/>
        <v>495750</v>
      </c>
      <c r="O28" s="8">
        <f t="shared" si="2"/>
        <v>645750</v>
      </c>
      <c r="P28" t="str">
        <f t="shared" si="3"/>
        <v>OK</v>
      </c>
    </row>
    <row r="29" spans="1:16" x14ac:dyDescent="0.25">
      <c r="A29" s="12" t="s">
        <v>174</v>
      </c>
      <c r="B29" s="9">
        <v>46269</v>
      </c>
      <c r="C29" s="12" t="s">
        <v>40</v>
      </c>
      <c r="D29" s="12" t="s">
        <v>41</v>
      </c>
      <c r="E29" s="12" t="s">
        <v>36</v>
      </c>
      <c r="F29" s="13">
        <f>SUMIF('Approved FX'!$A$5:$A$7,E29,'Approved FX'!$B$5:$B$7)</f>
        <v>1</v>
      </c>
      <c r="G29" s="8">
        <f t="shared" si="6"/>
        <v>645750</v>
      </c>
      <c r="H29" s="8">
        <f>SUMIFS('Cash Flow Ledger'!$G$5:$G$135,'Cash Flow Ledger'!$A$5:$A$135,B29,'Cash Flow Ledger'!$B$5:$B$135,C29)</f>
        <v>15000</v>
      </c>
      <c r="I29" s="8">
        <f>IF(AND(C29="E004",B29=SUMIF('Scenario Assumptions'!$A$5:$A$7,A29,'Scenario Assumptions'!$B$5:$B$7)),SUMIF('Scenario Assumptions'!$A$5:$A$7,A29,'Scenario Assumptions'!$C$5:$C$7),0)</f>
        <v>0</v>
      </c>
      <c r="J29" s="8">
        <f>IF(AND(C29="E004",B29=SUMIF('Scenario Assumptions'!$A$5:$A$7,A29,'Scenario Assumptions'!$D$5:$D$7)), -SUMIF('Scenario Assumptions'!$A$5:$A$7,A29,'Scenario Assumptions'!$E$5:$E$7),0)</f>
        <v>0</v>
      </c>
      <c r="K29" s="5">
        <v>0</v>
      </c>
      <c r="L29" s="8">
        <f t="shared" si="0"/>
        <v>660750</v>
      </c>
      <c r="M29" s="8">
        <f>SUMIF(Entities!$A$5:$A$10,C29,Entities!$D$5:$D$10)</f>
        <v>150000</v>
      </c>
      <c r="N29" s="8">
        <f t="shared" si="1"/>
        <v>510750</v>
      </c>
      <c r="O29" s="8">
        <f t="shared" si="2"/>
        <v>660750</v>
      </c>
      <c r="P29" t="str">
        <f t="shared" si="3"/>
        <v>OK</v>
      </c>
    </row>
    <row r="30" spans="1:16" x14ac:dyDescent="0.25">
      <c r="A30" s="12" t="s">
        <v>174</v>
      </c>
      <c r="B30" s="9">
        <v>46270</v>
      </c>
      <c r="C30" s="12" t="s">
        <v>40</v>
      </c>
      <c r="D30" s="12" t="s">
        <v>41</v>
      </c>
      <c r="E30" s="12" t="s">
        <v>36</v>
      </c>
      <c r="F30" s="13">
        <f>SUMIF('Approved FX'!$A$5:$A$7,E30,'Approved FX'!$B$5:$B$7)</f>
        <v>1</v>
      </c>
      <c r="G30" s="8">
        <f t="shared" si="6"/>
        <v>660750</v>
      </c>
      <c r="H30" s="8">
        <f>SUMIFS('Cash Flow Ledger'!$G$5:$G$135,'Cash Flow Ledger'!$A$5:$A$135,B30,'Cash Flow Ledger'!$B$5:$B$135,C30)</f>
        <v>-4000</v>
      </c>
      <c r="I30" s="8">
        <f>IF(AND(C30="E004",B30=SUMIF('Scenario Assumptions'!$A$5:$A$7,A30,'Scenario Assumptions'!$B$5:$B$7)),SUMIF('Scenario Assumptions'!$A$5:$A$7,A30,'Scenario Assumptions'!$C$5:$C$7),0)</f>
        <v>0</v>
      </c>
      <c r="J30" s="8">
        <f>IF(AND(C30="E004",B30=SUMIF('Scenario Assumptions'!$A$5:$A$7,A30,'Scenario Assumptions'!$D$5:$D$7)), -SUMIF('Scenario Assumptions'!$A$5:$A$7,A30,'Scenario Assumptions'!$E$5:$E$7),0)</f>
        <v>0</v>
      </c>
      <c r="K30" s="5">
        <v>0</v>
      </c>
      <c r="L30" s="8">
        <f t="shared" si="0"/>
        <v>656750</v>
      </c>
      <c r="M30" s="8">
        <f>SUMIF(Entities!$A$5:$A$10,C30,Entities!$D$5:$D$10)</f>
        <v>150000</v>
      </c>
      <c r="N30" s="8">
        <f t="shared" si="1"/>
        <v>506750</v>
      </c>
      <c r="O30" s="8">
        <f t="shared" si="2"/>
        <v>656750</v>
      </c>
      <c r="P30" t="str">
        <f t="shared" si="3"/>
        <v>OK</v>
      </c>
    </row>
    <row r="31" spans="1:16" x14ac:dyDescent="0.25">
      <c r="A31" s="12" t="s">
        <v>174</v>
      </c>
      <c r="B31" s="9">
        <v>46271</v>
      </c>
      <c r="C31" s="12" t="s">
        <v>40</v>
      </c>
      <c r="D31" s="12" t="s">
        <v>41</v>
      </c>
      <c r="E31" s="12" t="s">
        <v>36</v>
      </c>
      <c r="F31" s="13">
        <f>SUMIF('Approved FX'!$A$5:$A$7,E31,'Approved FX'!$B$5:$B$7)</f>
        <v>1</v>
      </c>
      <c r="G31" s="8">
        <f t="shared" si="6"/>
        <v>656750</v>
      </c>
      <c r="H31" s="8">
        <f>SUMIFS('Cash Flow Ledger'!$G$5:$G$135,'Cash Flow Ledger'!$A$5:$A$135,B31,'Cash Flow Ledger'!$B$5:$B$135,C31)</f>
        <v>-4000</v>
      </c>
      <c r="I31" s="8">
        <f>IF(AND(C31="E004",B31=SUMIF('Scenario Assumptions'!$A$5:$A$7,A31,'Scenario Assumptions'!$B$5:$B$7)),SUMIF('Scenario Assumptions'!$A$5:$A$7,A31,'Scenario Assumptions'!$C$5:$C$7),0)</f>
        <v>0</v>
      </c>
      <c r="J31" s="8">
        <f>IF(AND(C31="E004",B31=SUMIF('Scenario Assumptions'!$A$5:$A$7,A31,'Scenario Assumptions'!$D$5:$D$7)), -SUMIF('Scenario Assumptions'!$A$5:$A$7,A31,'Scenario Assumptions'!$E$5:$E$7),0)</f>
        <v>0</v>
      </c>
      <c r="K31" s="5">
        <v>0</v>
      </c>
      <c r="L31" s="8">
        <f t="shared" si="0"/>
        <v>652750</v>
      </c>
      <c r="M31" s="8">
        <f>SUMIF(Entities!$A$5:$A$10,C31,Entities!$D$5:$D$10)</f>
        <v>150000</v>
      </c>
      <c r="N31" s="8">
        <f t="shared" si="1"/>
        <v>502750</v>
      </c>
      <c r="O31" s="8">
        <f t="shared" si="2"/>
        <v>652750</v>
      </c>
      <c r="P31" t="str">
        <f t="shared" si="3"/>
        <v>OK</v>
      </c>
    </row>
    <row r="32" spans="1:16" x14ac:dyDescent="0.25">
      <c r="A32" s="12" t="s">
        <v>174</v>
      </c>
      <c r="B32" s="9">
        <v>46272</v>
      </c>
      <c r="C32" s="12" t="s">
        <v>40</v>
      </c>
      <c r="D32" s="12" t="s">
        <v>41</v>
      </c>
      <c r="E32" s="12" t="s">
        <v>36</v>
      </c>
      <c r="F32" s="13">
        <f>SUMIF('Approved FX'!$A$5:$A$7,E32,'Approved FX'!$B$5:$B$7)</f>
        <v>1</v>
      </c>
      <c r="G32" s="8">
        <f t="shared" si="6"/>
        <v>652750</v>
      </c>
      <c r="H32" s="8">
        <f>SUMIFS('Cash Flow Ledger'!$G$5:$G$135,'Cash Flow Ledger'!$A$5:$A$135,B32,'Cash Flow Ledger'!$B$5:$B$135,C32)</f>
        <v>-4000</v>
      </c>
      <c r="I32" s="8">
        <f>IF(AND(C32="E004",B32=SUMIF('Scenario Assumptions'!$A$5:$A$7,A32,'Scenario Assumptions'!$B$5:$B$7)),SUMIF('Scenario Assumptions'!$A$5:$A$7,A32,'Scenario Assumptions'!$C$5:$C$7),0)</f>
        <v>0</v>
      </c>
      <c r="J32" s="8">
        <f>IF(AND(C32="E004",B32=SUMIF('Scenario Assumptions'!$A$5:$A$7,A32,'Scenario Assumptions'!$D$5:$D$7)), -SUMIF('Scenario Assumptions'!$A$5:$A$7,A32,'Scenario Assumptions'!$E$5:$E$7),0)</f>
        <v>0</v>
      </c>
      <c r="K32" s="5">
        <v>0</v>
      </c>
      <c r="L32" s="8">
        <f t="shared" si="0"/>
        <v>648750</v>
      </c>
      <c r="M32" s="8">
        <f>SUMIF(Entities!$A$5:$A$10,C32,Entities!$D$5:$D$10)</f>
        <v>150000</v>
      </c>
      <c r="N32" s="8">
        <f t="shared" si="1"/>
        <v>498750</v>
      </c>
      <c r="O32" s="8">
        <f t="shared" si="2"/>
        <v>648750</v>
      </c>
      <c r="P32" t="str">
        <f t="shared" si="3"/>
        <v>OK</v>
      </c>
    </row>
    <row r="33" spans="1:16" x14ac:dyDescent="0.25">
      <c r="A33" s="12" t="s">
        <v>174</v>
      </c>
      <c r="B33" s="9">
        <v>46273</v>
      </c>
      <c r="C33" s="12" t="s">
        <v>40</v>
      </c>
      <c r="D33" s="12" t="s">
        <v>41</v>
      </c>
      <c r="E33" s="12" t="s">
        <v>36</v>
      </c>
      <c r="F33" s="13">
        <f>SUMIF('Approved FX'!$A$5:$A$7,E33,'Approved FX'!$B$5:$B$7)</f>
        <v>1</v>
      </c>
      <c r="G33" s="8">
        <f t="shared" si="6"/>
        <v>648750</v>
      </c>
      <c r="H33" s="8">
        <f>SUMIFS('Cash Flow Ledger'!$G$5:$G$135,'Cash Flow Ledger'!$A$5:$A$135,B33,'Cash Flow Ledger'!$B$5:$B$135,C33)</f>
        <v>-224000</v>
      </c>
      <c r="I33" s="8">
        <f>IF(AND(C33="E004",B33=SUMIF('Scenario Assumptions'!$A$5:$A$7,A33,'Scenario Assumptions'!$B$5:$B$7)),SUMIF('Scenario Assumptions'!$A$5:$A$7,A33,'Scenario Assumptions'!$C$5:$C$7),0)</f>
        <v>0</v>
      </c>
      <c r="J33" s="8">
        <f>IF(AND(C33="E004",B33=SUMIF('Scenario Assumptions'!$A$5:$A$7,A33,'Scenario Assumptions'!$D$5:$D$7)), -SUMIF('Scenario Assumptions'!$A$5:$A$7,A33,'Scenario Assumptions'!$E$5:$E$7),0)</f>
        <v>0</v>
      </c>
      <c r="K33" s="5">
        <v>0</v>
      </c>
      <c r="L33" s="8">
        <f t="shared" si="0"/>
        <v>424750</v>
      </c>
      <c r="M33" s="8">
        <f>SUMIF(Entities!$A$5:$A$10,C33,Entities!$D$5:$D$10)</f>
        <v>150000</v>
      </c>
      <c r="N33" s="8">
        <f t="shared" si="1"/>
        <v>274750</v>
      </c>
      <c r="O33" s="8">
        <f t="shared" si="2"/>
        <v>424750</v>
      </c>
      <c r="P33" t="str">
        <f t="shared" si="3"/>
        <v>OK</v>
      </c>
    </row>
    <row r="34" spans="1:16" x14ac:dyDescent="0.25">
      <c r="A34" s="12" t="s">
        <v>174</v>
      </c>
      <c r="B34" s="9">
        <v>46274</v>
      </c>
      <c r="C34" s="12" t="s">
        <v>40</v>
      </c>
      <c r="D34" s="12" t="s">
        <v>41</v>
      </c>
      <c r="E34" s="12" t="s">
        <v>36</v>
      </c>
      <c r="F34" s="13">
        <f>SUMIF('Approved FX'!$A$5:$A$7,E34,'Approved FX'!$B$5:$B$7)</f>
        <v>1</v>
      </c>
      <c r="G34" s="8">
        <f t="shared" si="6"/>
        <v>424750</v>
      </c>
      <c r="H34" s="8">
        <f>SUMIFS('Cash Flow Ledger'!$G$5:$G$135,'Cash Flow Ledger'!$A$5:$A$135,B34,'Cash Flow Ledger'!$B$5:$B$135,C34)</f>
        <v>-4000</v>
      </c>
      <c r="I34" s="8">
        <f>IF(AND(C34="E004",B34=SUMIF('Scenario Assumptions'!$A$5:$A$7,A34,'Scenario Assumptions'!$B$5:$B$7)),SUMIF('Scenario Assumptions'!$A$5:$A$7,A34,'Scenario Assumptions'!$C$5:$C$7),0)</f>
        <v>0</v>
      </c>
      <c r="J34" s="8">
        <f>IF(AND(C34="E004",B34=SUMIF('Scenario Assumptions'!$A$5:$A$7,A34,'Scenario Assumptions'!$D$5:$D$7)), -SUMIF('Scenario Assumptions'!$A$5:$A$7,A34,'Scenario Assumptions'!$E$5:$E$7),0)</f>
        <v>0</v>
      </c>
      <c r="K34" s="5">
        <v>0</v>
      </c>
      <c r="L34" s="8">
        <f t="shared" si="0"/>
        <v>420750</v>
      </c>
      <c r="M34" s="8">
        <f>SUMIF(Entities!$A$5:$A$10,C34,Entities!$D$5:$D$10)</f>
        <v>150000</v>
      </c>
      <c r="N34" s="8">
        <f t="shared" si="1"/>
        <v>270750</v>
      </c>
      <c r="O34" s="8">
        <f t="shared" si="2"/>
        <v>420750</v>
      </c>
      <c r="P34" t="str">
        <f t="shared" si="3"/>
        <v>OK</v>
      </c>
    </row>
    <row r="35" spans="1:16" x14ac:dyDescent="0.25">
      <c r="A35" s="12" t="s">
        <v>174</v>
      </c>
      <c r="B35" s="9">
        <v>46265</v>
      </c>
      <c r="C35" s="12" t="s">
        <v>43</v>
      </c>
      <c r="D35" s="12" t="s">
        <v>44</v>
      </c>
      <c r="E35" s="12" t="s">
        <v>36</v>
      </c>
      <c r="F35" s="13">
        <f>SUMIF('Approved FX'!$A$5:$A$7,E35,'Approved FX'!$B$5:$B$7)</f>
        <v>1</v>
      </c>
      <c r="G35" s="8">
        <f>SUMIFS('Opening Balances'!$I$5:$I$14,'Opening Balances'!$B$5:$B$14,C35)</f>
        <v>230400</v>
      </c>
      <c r="H35" s="8">
        <f>SUMIFS('Cash Flow Ledger'!$G$5:$G$135,'Cash Flow Ledger'!$A$5:$A$135,B35,'Cash Flow Ledger'!$B$5:$B$135,C35)</f>
        <v>-85000</v>
      </c>
      <c r="I35" s="8">
        <f>IF(AND(C35="E004",B35=SUMIF('Scenario Assumptions'!$A$5:$A$7,A35,'Scenario Assumptions'!$B$5:$B$7)),SUMIF('Scenario Assumptions'!$A$5:$A$7,A35,'Scenario Assumptions'!$C$5:$C$7),0)</f>
        <v>0</v>
      </c>
      <c r="J35" s="8">
        <f>IF(AND(C35="E004",B35=SUMIF('Scenario Assumptions'!$A$5:$A$7,A35,'Scenario Assumptions'!$D$5:$D$7)), -SUMIF('Scenario Assumptions'!$A$5:$A$7,A35,'Scenario Assumptions'!$E$5:$E$7),0)</f>
        <v>0</v>
      </c>
      <c r="K35" s="5">
        <v>0</v>
      </c>
      <c r="L35" s="8">
        <f t="shared" si="0"/>
        <v>145400</v>
      </c>
      <c r="M35" s="8">
        <f>SUMIF(Entities!$A$5:$A$10,C35,Entities!$D$5:$D$10)</f>
        <v>200000</v>
      </c>
      <c r="N35" s="8">
        <f t="shared" si="1"/>
        <v>-54600</v>
      </c>
      <c r="O35" s="8">
        <f t="shared" si="2"/>
        <v>145400</v>
      </c>
      <c r="P35" t="str">
        <f t="shared" si="3"/>
        <v>BELOW MINIMUM</v>
      </c>
    </row>
    <row r="36" spans="1:16" x14ac:dyDescent="0.25">
      <c r="A36" s="12" t="s">
        <v>174</v>
      </c>
      <c r="B36" s="9">
        <v>46266</v>
      </c>
      <c r="C36" s="12" t="s">
        <v>43</v>
      </c>
      <c r="D36" s="12" t="s">
        <v>44</v>
      </c>
      <c r="E36" s="12" t="s">
        <v>36</v>
      </c>
      <c r="F36" s="13">
        <f>SUMIF('Approved FX'!$A$5:$A$7,E36,'Approved FX'!$B$5:$B$7)</f>
        <v>1</v>
      </c>
      <c r="G36" s="8">
        <f t="shared" ref="G36:G44" si="7">L35</f>
        <v>145400</v>
      </c>
      <c r="H36" s="8">
        <f>SUMIFS('Cash Flow Ledger'!$G$5:$G$135,'Cash Flow Ledger'!$A$5:$A$135,B36,'Cash Flow Ledger'!$B$5:$B$135,C36)</f>
        <v>-65000</v>
      </c>
      <c r="I36" s="8">
        <f>IF(AND(C36="E004",B36=SUMIF('Scenario Assumptions'!$A$5:$A$7,A36,'Scenario Assumptions'!$B$5:$B$7)),SUMIF('Scenario Assumptions'!$A$5:$A$7,A36,'Scenario Assumptions'!$C$5:$C$7),0)</f>
        <v>0</v>
      </c>
      <c r="J36" s="8">
        <f>IF(AND(C36="E004",B36=SUMIF('Scenario Assumptions'!$A$5:$A$7,A36,'Scenario Assumptions'!$D$5:$D$7)), -SUMIF('Scenario Assumptions'!$A$5:$A$7,A36,'Scenario Assumptions'!$E$5:$E$7),0)</f>
        <v>0</v>
      </c>
      <c r="K36" s="5">
        <v>0</v>
      </c>
      <c r="L36" s="8">
        <f t="shared" si="0"/>
        <v>80400</v>
      </c>
      <c r="M36" s="8">
        <f>SUMIF(Entities!$A$5:$A$10,C36,Entities!$D$5:$D$10)</f>
        <v>200000</v>
      </c>
      <c r="N36" s="8">
        <f t="shared" si="1"/>
        <v>-119600</v>
      </c>
      <c r="O36" s="8">
        <f t="shared" si="2"/>
        <v>80400</v>
      </c>
      <c r="P36" t="str">
        <f t="shared" si="3"/>
        <v>BELOW MINIMUM</v>
      </c>
    </row>
    <row r="37" spans="1:16" x14ac:dyDescent="0.25">
      <c r="A37" s="12" t="s">
        <v>174</v>
      </c>
      <c r="B37" s="9">
        <v>46267</v>
      </c>
      <c r="C37" s="12" t="s">
        <v>43</v>
      </c>
      <c r="D37" s="12" t="s">
        <v>44</v>
      </c>
      <c r="E37" s="12" t="s">
        <v>36</v>
      </c>
      <c r="F37" s="13">
        <f>SUMIF('Approved FX'!$A$5:$A$7,E37,'Approved FX'!$B$5:$B$7)</f>
        <v>1</v>
      </c>
      <c r="G37" s="8">
        <f t="shared" si="7"/>
        <v>80400</v>
      </c>
      <c r="H37" s="8">
        <f>SUMIFS('Cash Flow Ledger'!$G$5:$G$135,'Cash Flow Ledger'!$A$5:$A$135,B37,'Cash Flow Ledger'!$B$5:$B$135,C37)</f>
        <v>0</v>
      </c>
      <c r="I37" s="8">
        <f>IF(AND(C37="E004",B37=SUMIF('Scenario Assumptions'!$A$5:$A$7,A37,'Scenario Assumptions'!$B$5:$B$7)),SUMIF('Scenario Assumptions'!$A$5:$A$7,A37,'Scenario Assumptions'!$C$5:$C$7),0)</f>
        <v>620000</v>
      </c>
      <c r="J37" s="8">
        <f>IF(AND(C37="E004",B37=SUMIF('Scenario Assumptions'!$A$5:$A$7,A37,'Scenario Assumptions'!$D$5:$D$7)), -SUMIF('Scenario Assumptions'!$A$5:$A$7,A37,'Scenario Assumptions'!$E$5:$E$7),0)</f>
        <v>0</v>
      </c>
      <c r="K37" s="5">
        <v>0</v>
      </c>
      <c r="L37" s="8">
        <f t="shared" ref="L37:L68" si="8">G37+H37+I37+J37+K37</f>
        <v>700400</v>
      </c>
      <c r="M37" s="8">
        <f>SUMIF(Entities!$A$5:$A$10,C37,Entities!$D$5:$D$10)</f>
        <v>200000</v>
      </c>
      <c r="N37" s="8">
        <f t="shared" ref="N37:N68" si="9">L37-M37</f>
        <v>500400</v>
      </c>
      <c r="O37" s="8">
        <f t="shared" ref="O37:O68" si="10">L37*F37</f>
        <v>700400</v>
      </c>
      <c r="P37" t="str">
        <f t="shared" ref="P37:P68" si="11">IF(L37&lt;0,"NEGATIVE",IF(L37&lt;M37,"BELOW MINIMUM","OK"))</f>
        <v>OK</v>
      </c>
    </row>
    <row r="38" spans="1:16" x14ac:dyDescent="0.25">
      <c r="A38" s="12" t="s">
        <v>174</v>
      </c>
      <c r="B38" s="9">
        <v>46268</v>
      </c>
      <c r="C38" s="12" t="s">
        <v>43</v>
      </c>
      <c r="D38" s="12" t="s">
        <v>44</v>
      </c>
      <c r="E38" s="12" t="s">
        <v>36</v>
      </c>
      <c r="F38" s="13">
        <f>SUMIF('Approved FX'!$A$5:$A$7,E38,'Approved FX'!$B$5:$B$7)</f>
        <v>1</v>
      </c>
      <c r="G38" s="8">
        <f t="shared" si="7"/>
        <v>700400</v>
      </c>
      <c r="H38" s="8">
        <f>SUMIFS('Cash Flow Ledger'!$G$5:$G$135,'Cash Flow Ledger'!$A$5:$A$135,B38,'Cash Flow Ledger'!$B$5:$B$135,C38)</f>
        <v>-410000</v>
      </c>
      <c r="I38" s="8">
        <f>IF(AND(C38="E004",B38=SUMIF('Scenario Assumptions'!$A$5:$A$7,A38,'Scenario Assumptions'!$B$5:$B$7)),SUMIF('Scenario Assumptions'!$A$5:$A$7,A38,'Scenario Assumptions'!$C$5:$C$7),0)</f>
        <v>0</v>
      </c>
      <c r="J38" s="8">
        <f>IF(AND(C38="E004",B38=SUMIF('Scenario Assumptions'!$A$5:$A$7,A38,'Scenario Assumptions'!$D$5:$D$7)), -SUMIF('Scenario Assumptions'!$A$5:$A$7,A38,'Scenario Assumptions'!$E$5:$E$7),0)</f>
        <v>0</v>
      </c>
      <c r="K38" s="5">
        <v>0</v>
      </c>
      <c r="L38" s="8">
        <f t="shared" si="8"/>
        <v>290400</v>
      </c>
      <c r="M38" s="8">
        <f>SUMIF(Entities!$A$5:$A$10,C38,Entities!$D$5:$D$10)</f>
        <v>200000</v>
      </c>
      <c r="N38" s="8">
        <f t="shared" si="9"/>
        <v>90400</v>
      </c>
      <c r="O38" s="8">
        <f t="shared" si="10"/>
        <v>290400</v>
      </c>
      <c r="P38" t="str">
        <f t="shared" si="11"/>
        <v>OK</v>
      </c>
    </row>
    <row r="39" spans="1:16" x14ac:dyDescent="0.25">
      <c r="A39" s="12" t="s">
        <v>174</v>
      </c>
      <c r="B39" s="9">
        <v>46269</v>
      </c>
      <c r="C39" s="12" t="s">
        <v>43</v>
      </c>
      <c r="D39" s="12" t="s">
        <v>44</v>
      </c>
      <c r="E39" s="12" t="s">
        <v>36</v>
      </c>
      <c r="F39" s="13">
        <f>SUMIF('Approved FX'!$A$5:$A$7,E39,'Approved FX'!$B$5:$B$7)</f>
        <v>1</v>
      </c>
      <c r="G39" s="8">
        <f t="shared" si="7"/>
        <v>290400</v>
      </c>
      <c r="H39" s="8">
        <f>SUMIFS('Cash Flow Ledger'!$G$5:$G$135,'Cash Flow Ledger'!$A$5:$A$135,B39,'Cash Flow Ledger'!$B$5:$B$135,C39)</f>
        <v>-115000</v>
      </c>
      <c r="I39" s="8">
        <f>IF(AND(C39="E004",B39=SUMIF('Scenario Assumptions'!$A$5:$A$7,A39,'Scenario Assumptions'!$B$5:$B$7)),SUMIF('Scenario Assumptions'!$A$5:$A$7,A39,'Scenario Assumptions'!$C$5:$C$7),0)</f>
        <v>0</v>
      </c>
      <c r="J39" s="8">
        <f>IF(AND(C39="E004",B39=SUMIF('Scenario Assumptions'!$A$5:$A$7,A39,'Scenario Assumptions'!$D$5:$D$7)), -SUMIF('Scenario Assumptions'!$A$5:$A$7,A39,'Scenario Assumptions'!$E$5:$E$7),0)</f>
        <v>0</v>
      </c>
      <c r="K39" s="5">
        <v>0</v>
      </c>
      <c r="L39" s="8">
        <f t="shared" si="8"/>
        <v>175400</v>
      </c>
      <c r="M39" s="8">
        <f>SUMIF(Entities!$A$5:$A$10,C39,Entities!$D$5:$D$10)</f>
        <v>200000</v>
      </c>
      <c r="N39" s="8">
        <f t="shared" si="9"/>
        <v>-24600</v>
      </c>
      <c r="O39" s="8">
        <f t="shared" si="10"/>
        <v>175400</v>
      </c>
      <c r="P39" t="str">
        <f t="shared" si="11"/>
        <v>BELOW MINIMUM</v>
      </c>
    </row>
    <row r="40" spans="1:16" x14ac:dyDescent="0.25">
      <c r="A40" s="12" t="s">
        <v>174</v>
      </c>
      <c r="B40" s="9">
        <v>46270</v>
      </c>
      <c r="C40" s="12" t="s">
        <v>43</v>
      </c>
      <c r="D40" s="12" t="s">
        <v>44</v>
      </c>
      <c r="E40" s="12" t="s">
        <v>36</v>
      </c>
      <c r="F40" s="13">
        <f>SUMIF('Approved FX'!$A$5:$A$7,E40,'Approved FX'!$B$5:$B$7)</f>
        <v>1</v>
      </c>
      <c r="G40" s="8">
        <f t="shared" si="7"/>
        <v>175400</v>
      </c>
      <c r="H40" s="8">
        <f>SUMIFS('Cash Flow Ledger'!$G$5:$G$135,'Cash Flow Ledger'!$A$5:$A$135,B40,'Cash Flow Ledger'!$B$5:$B$135,C40)</f>
        <v>-90000</v>
      </c>
      <c r="I40" s="8">
        <f>IF(AND(C40="E004",B40=SUMIF('Scenario Assumptions'!$A$5:$A$7,A40,'Scenario Assumptions'!$B$5:$B$7)),SUMIF('Scenario Assumptions'!$A$5:$A$7,A40,'Scenario Assumptions'!$C$5:$C$7),0)</f>
        <v>0</v>
      </c>
      <c r="J40" s="8">
        <f>IF(AND(C40="E004",B40=SUMIF('Scenario Assumptions'!$A$5:$A$7,A40,'Scenario Assumptions'!$D$5:$D$7)), -SUMIF('Scenario Assumptions'!$A$5:$A$7,A40,'Scenario Assumptions'!$E$5:$E$7),0)</f>
        <v>0</v>
      </c>
      <c r="K40" s="5">
        <v>0</v>
      </c>
      <c r="L40" s="8">
        <f t="shared" si="8"/>
        <v>85400</v>
      </c>
      <c r="M40" s="8">
        <f>SUMIF(Entities!$A$5:$A$10,C40,Entities!$D$5:$D$10)</f>
        <v>200000</v>
      </c>
      <c r="N40" s="8">
        <f t="shared" si="9"/>
        <v>-114600</v>
      </c>
      <c r="O40" s="8">
        <f t="shared" si="10"/>
        <v>85400</v>
      </c>
      <c r="P40" t="str">
        <f t="shared" si="11"/>
        <v>BELOW MINIMUM</v>
      </c>
    </row>
    <row r="41" spans="1:16" x14ac:dyDescent="0.25">
      <c r="A41" s="12" t="s">
        <v>174</v>
      </c>
      <c r="B41" s="9">
        <v>46271</v>
      </c>
      <c r="C41" s="12" t="s">
        <v>43</v>
      </c>
      <c r="D41" s="12" t="s">
        <v>44</v>
      </c>
      <c r="E41" s="12" t="s">
        <v>36</v>
      </c>
      <c r="F41" s="13">
        <f>SUMIF('Approved FX'!$A$5:$A$7,E41,'Approved FX'!$B$5:$B$7)</f>
        <v>1</v>
      </c>
      <c r="G41" s="8">
        <f t="shared" si="7"/>
        <v>85400</v>
      </c>
      <c r="H41" s="8">
        <f>SUMIFS('Cash Flow Ledger'!$G$5:$G$135,'Cash Flow Ledger'!$A$5:$A$135,B41,'Cash Flow Ledger'!$B$5:$B$135,C41)</f>
        <v>5000</v>
      </c>
      <c r="I41" s="8">
        <f>IF(AND(C41="E004",B41=SUMIF('Scenario Assumptions'!$A$5:$A$7,A41,'Scenario Assumptions'!$B$5:$B$7)),SUMIF('Scenario Assumptions'!$A$5:$A$7,A41,'Scenario Assumptions'!$C$5:$C$7),0)</f>
        <v>0</v>
      </c>
      <c r="J41" s="8">
        <f>IF(AND(C41="E004",B41=SUMIF('Scenario Assumptions'!$A$5:$A$7,A41,'Scenario Assumptions'!$D$5:$D$7)), -SUMIF('Scenario Assumptions'!$A$5:$A$7,A41,'Scenario Assumptions'!$E$5:$E$7),0)</f>
        <v>0</v>
      </c>
      <c r="K41" s="5">
        <v>0</v>
      </c>
      <c r="L41" s="8">
        <f t="shared" si="8"/>
        <v>90400</v>
      </c>
      <c r="M41" s="8">
        <f>SUMIF(Entities!$A$5:$A$10,C41,Entities!$D$5:$D$10)</f>
        <v>200000</v>
      </c>
      <c r="N41" s="8">
        <f t="shared" si="9"/>
        <v>-109600</v>
      </c>
      <c r="O41" s="8">
        <f t="shared" si="10"/>
        <v>90400</v>
      </c>
      <c r="P41" t="str">
        <f t="shared" si="11"/>
        <v>BELOW MINIMUM</v>
      </c>
    </row>
    <row r="42" spans="1:16" x14ac:dyDescent="0.25">
      <c r="A42" s="12" t="s">
        <v>174</v>
      </c>
      <c r="B42" s="9">
        <v>46272</v>
      </c>
      <c r="C42" s="12" t="s">
        <v>43</v>
      </c>
      <c r="D42" s="12" t="s">
        <v>44</v>
      </c>
      <c r="E42" s="12" t="s">
        <v>36</v>
      </c>
      <c r="F42" s="13">
        <f>SUMIF('Approved FX'!$A$5:$A$7,E42,'Approved FX'!$B$5:$B$7)</f>
        <v>1</v>
      </c>
      <c r="G42" s="8">
        <f t="shared" si="7"/>
        <v>90400</v>
      </c>
      <c r="H42" s="8">
        <f>SUMIFS('Cash Flow Ledger'!$G$5:$G$135,'Cash Flow Ledger'!$A$5:$A$135,B42,'Cash Flow Ledger'!$B$5:$B$135,C42)</f>
        <v>-145000</v>
      </c>
      <c r="I42" s="8">
        <f>IF(AND(C42="E004",B42=SUMIF('Scenario Assumptions'!$A$5:$A$7,A42,'Scenario Assumptions'!$B$5:$B$7)),SUMIF('Scenario Assumptions'!$A$5:$A$7,A42,'Scenario Assumptions'!$C$5:$C$7),0)</f>
        <v>0</v>
      </c>
      <c r="J42" s="8">
        <f>IF(AND(C42="E004",B42=SUMIF('Scenario Assumptions'!$A$5:$A$7,A42,'Scenario Assumptions'!$D$5:$D$7)), -SUMIF('Scenario Assumptions'!$A$5:$A$7,A42,'Scenario Assumptions'!$E$5:$E$7),0)</f>
        <v>0</v>
      </c>
      <c r="K42" s="5">
        <v>0</v>
      </c>
      <c r="L42" s="8">
        <f t="shared" si="8"/>
        <v>-54600</v>
      </c>
      <c r="M42" s="8">
        <f>SUMIF(Entities!$A$5:$A$10,C42,Entities!$D$5:$D$10)</f>
        <v>200000</v>
      </c>
      <c r="N42" s="8">
        <f t="shared" si="9"/>
        <v>-254600</v>
      </c>
      <c r="O42" s="8">
        <f t="shared" si="10"/>
        <v>-54600</v>
      </c>
      <c r="P42" t="str">
        <f t="shared" si="11"/>
        <v>NEGATIVE</v>
      </c>
    </row>
    <row r="43" spans="1:16" x14ac:dyDescent="0.25">
      <c r="A43" s="12" t="s">
        <v>174</v>
      </c>
      <c r="B43" s="9">
        <v>46273</v>
      </c>
      <c r="C43" s="12" t="s">
        <v>43</v>
      </c>
      <c r="D43" s="12" t="s">
        <v>44</v>
      </c>
      <c r="E43" s="12" t="s">
        <v>36</v>
      </c>
      <c r="F43" s="13">
        <f>SUMIF('Approved FX'!$A$5:$A$7,E43,'Approved FX'!$B$5:$B$7)</f>
        <v>1</v>
      </c>
      <c r="G43" s="8">
        <f t="shared" si="7"/>
        <v>-54600</v>
      </c>
      <c r="H43" s="8">
        <f>SUMIFS('Cash Flow Ledger'!$G$5:$G$135,'Cash Flow Ledger'!$A$5:$A$135,B43,'Cash Flow Ledger'!$B$5:$B$135,C43)</f>
        <v>35000</v>
      </c>
      <c r="I43" s="8">
        <f>IF(AND(C43="E004",B43=SUMIF('Scenario Assumptions'!$A$5:$A$7,A43,'Scenario Assumptions'!$B$5:$B$7)),SUMIF('Scenario Assumptions'!$A$5:$A$7,A43,'Scenario Assumptions'!$C$5:$C$7),0)</f>
        <v>0</v>
      </c>
      <c r="J43" s="8">
        <f>IF(AND(C43="E004",B43=SUMIF('Scenario Assumptions'!$A$5:$A$7,A43,'Scenario Assumptions'!$D$5:$D$7)), -SUMIF('Scenario Assumptions'!$A$5:$A$7,A43,'Scenario Assumptions'!$E$5:$E$7),0)</f>
        <v>0</v>
      </c>
      <c r="K43" s="5">
        <v>0</v>
      </c>
      <c r="L43" s="8">
        <f t="shared" si="8"/>
        <v>-19600</v>
      </c>
      <c r="M43" s="8">
        <f>SUMIF(Entities!$A$5:$A$10,C43,Entities!$D$5:$D$10)</f>
        <v>200000</v>
      </c>
      <c r="N43" s="8">
        <f t="shared" si="9"/>
        <v>-219600</v>
      </c>
      <c r="O43" s="8">
        <f t="shared" si="10"/>
        <v>-19600</v>
      </c>
      <c r="P43" t="str">
        <f t="shared" si="11"/>
        <v>NEGATIVE</v>
      </c>
    </row>
    <row r="44" spans="1:16" x14ac:dyDescent="0.25">
      <c r="A44" s="12" t="s">
        <v>174</v>
      </c>
      <c r="B44" s="9">
        <v>46274</v>
      </c>
      <c r="C44" s="12" t="s">
        <v>43</v>
      </c>
      <c r="D44" s="12" t="s">
        <v>44</v>
      </c>
      <c r="E44" s="12" t="s">
        <v>36</v>
      </c>
      <c r="F44" s="13">
        <f>SUMIF('Approved FX'!$A$5:$A$7,E44,'Approved FX'!$B$5:$B$7)</f>
        <v>1</v>
      </c>
      <c r="G44" s="8">
        <f t="shared" si="7"/>
        <v>-19600</v>
      </c>
      <c r="H44" s="8">
        <f>SUMIFS('Cash Flow Ledger'!$G$5:$G$135,'Cash Flow Ledger'!$A$5:$A$135,B44,'Cash Flow Ledger'!$B$5:$B$135,C44)</f>
        <v>-30000</v>
      </c>
      <c r="I44" s="8">
        <f>IF(AND(C44="E004",B44=SUMIF('Scenario Assumptions'!$A$5:$A$7,A44,'Scenario Assumptions'!$B$5:$B$7)),SUMIF('Scenario Assumptions'!$A$5:$A$7,A44,'Scenario Assumptions'!$C$5:$C$7),0)</f>
        <v>0</v>
      </c>
      <c r="J44" s="8">
        <f>IF(AND(C44="E004",B44=SUMIF('Scenario Assumptions'!$A$5:$A$7,A44,'Scenario Assumptions'!$D$5:$D$7)), -SUMIF('Scenario Assumptions'!$A$5:$A$7,A44,'Scenario Assumptions'!$E$5:$E$7),0)</f>
        <v>0</v>
      </c>
      <c r="K44" s="5">
        <v>0</v>
      </c>
      <c r="L44" s="8">
        <f t="shared" si="8"/>
        <v>-49600</v>
      </c>
      <c r="M44" s="8">
        <f>SUMIF(Entities!$A$5:$A$10,C44,Entities!$D$5:$D$10)</f>
        <v>200000</v>
      </c>
      <c r="N44" s="8">
        <f t="shared" si="9"/>
        <v>-249600</v>
      </c>
      <c r="O44" s="8">
        <f t="shared" si="10"/>
        <v>-49600</v>
      </c>
      <c r="P44" t="str">
        <f t="shared" si="11"/>
        <v>NEGATIVE</v>
      </c>
    </row>
    <row r="45" spans="1:16" x14ac:dyDescent="0.25">
      <c r="A45" s="12" t="s">
        <v>174</v>
      </c>
      <c r="B45" s="9">
        <v>46265</v>
      </c>
      <c r="C45" s="12" t="s">
        <v>45</v>
      </c>
      <c r="D45" s="12" t="s">
        <v>46</v>
      </c>
      <c r="E45" s="12" t="s">
        <v>47</v>
      </c>
      <c r="F45" s="13">
        <f>SUMIF('Approved FX'!$A$5:$A$7,E45,'Approved FX'!$B$5:$B$7)</f>
        <v>0.73650000000000004</v>
      </c>
      <c r="G45" s="8">
        <f>SUMIFS('Opening Balances'!$I$5:$I$14,'Opening Balances'!$B$5:$B$14,C45)</f>
        <v>925000</v>
      </c>
      <c r="H45" s="8">
        <f>SUMIFS('Cash Flow Ledger'!$G$5:$G$135,'Cash Flow Ledger'!$A$5:$A$135,B45,'Cash Flow Ledger'!$B$5:$B$135,C45)</f>
        <v>10000</v>
      </c>
      <c r="I45" s="8">
        <f>IF(AND(C45="E004",B45=SUMIF('Scenario Assumptions'!$A$5:$A$7,A45,'Scenario Assumptions'!$B$5:$B$7)),SUMIF('Scenario Assumptions'!$A$5:$A$7,A45,'Scenario Assumptions'!$C$5:$C$7),0)</f>
        <v>0</v>
      </c>
      <c r="J45" s="8">
        <f>IF(AND(C45="E004",B45=SUMIF('Scenario Assumptions'!$A$5:$A$7,A45,'Scenario Assumptions'!$D$5:$D$7)), -SUMIF('Scenario Assumptions'!$A$5:$A$7,A45,'Scenario Assumptions'!$E$5:$E$7),0)</f>
        <v>0</v>
      </c>
      <c r="K45" s="5">
        <v>0</v>
      </c>
      <c r="L45" s="8">
        <f t="shared" si="8"/>
        <v>935000</v>
      </c>
      <c r="M45" s="8">
        <f>SUMIF(Entities!$A$5:$A$10,C45,Entities!$D$5:$D$10)</f>
        <v>300000</v>
      </c>
      <c r="N45" s="8">
        <f t="shared" si="9"/>
        <v>635000</v>
      </c>
      <c r="O45" s="8">
        <f t="shared" si="10"/>
        <v>688627.5</v>
      </c>
      <c r="P45" t="str">
        <f t="shared" si="11"/>
        <v>OK</v>
      </c>
    </row>
    <row r="46" spans="1:16" x14ac:dyDescent="0.25">
      <c r="A46" s="12" t="s">
        <v>174</v>
      </c>
      <c r="B46" s="9">
        <v>46266</v>
      </c>
      <c r="C46" s="12" t="s">
        <v>45</v>
      </c>
      <c r="D46" s="12" t="s">
        <v>46</v>
      </c>
      <c r="E46" s="12" t="s">
        <v>47</v>
      </c>
      <c r="F46" s="13">
        <f>SUMIF('Approved FX'!$A$5:$A$7,E46,'Approved FX'!$B$5:$B$7)</f>
        <v>0.73650000000000004</v>
      </c>
      <c r="G46" s="8">
        <f t="shared" ref="G46:G54" si="12">L45</f>
        <v>935000</v>
      </c>
      <c r="H46" s="8">
        <f>SUMIFS('Cash Flow Ledger'!$G$5:$G$135,'Cash Flow Ledger'!$A$5:$A$135,B46,'Cash Flow Ledger'!$B$5:$B$135,C46)</f>
        <v>15000</v>
      </c>
      <c r="I46" s="8">
        <f>IF(AND(C46="E004",B46=SUMIF('Scenario Assumptions'!$A$5:$A$7,A46,'Scenario Assumptions'!$B$5:$B$7)),SUMIF('Scenario Assumptions'!$A$5:$A$7,A46,'Scenario Assumptions'!$C$5:$C$7),0)</f>
        <v>0</v>
      </c>
      <c r="J46" s="8">
        <f>IF(AND(C46="E004",B46=SUMIF('Scenario Assumptions'!$A$5:$A$7,A46,'Scenario Assumptions'!$D$5:$D$7)), -SUMIF('Scenario Assumptions'!$A$5:$A$7,A46,'Scenario Assumptions'!$E$5:$E$7),0)</f>
        <v>0</v>
      </c>
      <c r="K46" s="5">
        <v>0</v>
      </c>
      <c r="L46" s="8">
        <f t="shared" si="8"/>
        <v>950000</v>
      </c>
      <c r="M46" s="8">
        <f>SUMIF(Entities!$A$5:$A$10,C46,Entities!$D$5:$D$10)</f>
        <v>300000</v>
      </c>
      <c r="N46" s="8">
        <f t="shared" si="9"/>
        <v>650000</v>
      </c>
      <c r="O46" s="8">
        <f t="shared" si="10"/>
        <v>699675</v>
      </c>
      <c r="P46" t="str">
        <f t="shared" si="11"/>
        <v>OK</v>
      </c>
    </row>
    <row r="47" spans="1:16" x14ac:dyDescent="0.25">
      <c r="A47" s="12" t="s">
        <v>174</v>
      </c>
      <c r="B47" s="9">
        <v>46267</v>
      </c>
      <c r="C47" s="12" t="s">
        <v>45</v>
      </c>
      <c r="D47" s="12" t="s">
        <v>46</v>
      </c>
      <c r="E47" s="12" t="s">
        <v>47</v>
      </c>
      <c r="F47" s="13">
        <f>SUMIF('Approved FX'!$A$5:$A$7,E47,'Approved FX'!$B$5:$B$7)</f>
        <v>0.73650000000000004</v>
      </c>
      <c r="G47" s="8">
        <f t="shared" si="12"/>
        <v>950000</v>
      </c>
      <c r="H47" s="8">
        <f>SUMIFS('Cash Flow Ledger'!$G$5:$G$135,'Cash Flow Ledger'!$A$5:$A$135,B47,'Cash Flow Ledger'!$B$5:$B$135,C47)</f>
        <v>20000</v>
      </c>
      <c r="I47" s="8">
        <f>IF(AND(C47="E004",B47=SUMIF('Scenario Assumptions'!$A$5:$A$7,A47,'Scenario Assumptions'!$B$5:$B$7)),SUMIF('Scenario Assumptions'!$A$5:$A$7,A47,'Scenario Assumptions'!$C$5:$C$7),0)</f>
        <v>0</v>
      </c>
      <c r="J47" s="8">
        <f>IF(AND(C47="E004",B47=SUMIF('Scenario Assumptions'!$A$5:$A$7,A47,'Scenario Assumptions'!$D$5:$D$7)), -SUMIF('Scenario Assumptions'!$A$5:$A$7,A47,'Scenario Assumptions'!$E$5:$E$7),0)</f>
        <v>0</v>
      </c>
      <c r="K47" s="5">
        <v>0</v>
      </c>
      <c r="L47" s="8">
        <f t="shared" si="8"/>
        <v>970000</v>
      </c>
      <c r="M47" s="8">
        <f>SUMIF(Entities!$A$5:$A$10,C47,Entities!$D$5:$D$10)</f>
        <v>300000</v>
      </c>
      <c r="N47" s="8">
        <f t="shared" si="9"/>
        <v>670000</v>
      </c>
      <c r="O47" s="8">
        <f t="shared" si="10"/>
        <v>714405</v>
      </c>
      <c r="P47" t="str">
        <f t="shared" si="11"/>
        <v>OK</v>
      </c>
    </row>
    <row r="48" spans="1:16" x14ac:dyDescent="0.25">
      <c r="A48" s="12" t="s">
        <v>174</v>
      </c>
      <c r="B48" s="9">
        <v>46268</v>
      </c>
      <c r="C48" s="12" t="s">
        <v>45</v>
      </c>
      <c r="D48" s="12" t="s">
        <v>46</v>
      </c>
      <c r="E48" s="12" t="s">
        <v>47</v>
      </c>
      <c r="F48" s="13">
        <f>SUMIF('Approved FX'!$A$5:$A$7,E48,'Approved FX'!$B$5:$B$7)</f>
        <v>0.73650000000000004</v>
      </c>
      <c r="G48" s="8">
        <f t="shared" si="12"/>
        <v>970000</v>
      </c>
      <c r="H48" s="8">
        <f>SUMIFS('Cash Flow Ledger'!$G$5:$G$135,'Cash Flow Ledger'!$A$5:$A$135,B48,'Cash Flow Ledger'!$B$5:$B$135,C48)</f>
        <v>-20000</v>
      </c>
      <c r="I48" s="8">
        <f>IF(AND(C48="E004",B48=SUMIF('Scenario Assumptions'!$A$5:$A$7,A48,'Scenario Assumptions'!$B$5:$B$7)),SUMIF('Scenario Assumptions'!$A$5:$A$7,A48,'Scenario Assumptions'!$C$5:$C$7),0)</f>
        <v>0</v>
      </c>
      <c r="J48" s="8">
        <f>IF(AND(C48="E004",B48=SUMIF('Scenario Assumptions'!$A$5:$A$7,A48,'Scenario Assumptions'!$D$5:$D$7)), -SUMIF('Scenario Assumptions'!$A$5:$A$7,A48,'Scenario Assumptions'!$E$5:$E$7),0)</f>
        <v>0</v>
      </c>
      <c r="K48" s="5">
        <v>0</v>
      </c>
      <c r="L48" s="8">
        <f t="shared" si="8"/>
        <v>950000</v>
      </c>
      <c r="M48" s="8">
        <f>SUMIF(Entities!$A$5:$A$10,C48,Entities!$D$5:$D$10)</f>
        <v>300000</v>
      </c>
      <c r="N48" s="8">
        <f t="shared" si="9"/>
        <v>650000</v>
      </c>
      <c r="O48" s="8">
        <f t="shared" si="10"/>
        <v>699675</v>
      </c>
      <c r="P48" t="str">
        <f t="shared" si="11"/>
        <v>OK</v>
      </c>
    </row>
    <row r="49" spans="1:16" x14ac:dyDescent="0.25">
      <c r="A49" s="12" t="s">
        <v>174</v>
      </c>
      <c r="B49" s="9">
        <v>46269</v>
      </c>
      <c r="C49" s="12" t="s">
        <v>45</v>
      </c>
      <c r="D49" s="12" t="s">
        <v>46</v>
      </c>
      <c r="E49" s="12" t="s">
        <v>47</v>
      </c>
      <c r="F49" s="13">
        <f>SUMIF('Approved FX'!$A$5:$A$7,E49,'Approved FX'!$B$5:$B$7)</f>
        <v>0.73650000000000004</v>
      </c>
      <c r="G49" s="8">
        <f t="shared" si="12"/>
        <v>950000</v>
      </c>
      <c r="H49" s="8">
        <f>SUMIFS('Cash Flow Ledger'!$G$5:$G$135,'Cash Flow Ledger'!$A$5:$A$135,B49,'Cash Flow Ledger'!$B$5:$B$135,C49)</f>
        <v>25000</v>
      </c>
      <c r="I49" s="8">
        <f>IF(AND(C49="E004",B49=SUMIF('Scenario Assumptions'!$A$5:$A$7,A49,'Scenario Assumptions'!$B$5:$B$7)),SUMIF('Scenario Assumptions'!$A$5:$A$7,A49,'Scenario Assumptions'!$C$5:$C$7),0)</f>
        <v>0</v>
      </c>
      <c r="J49" s="8">
        <f>IF(AND(C49="E004",B49=SUMIF('Scenario Assumptions'!$A$5:$A$7,A49,'Scenario Assumptions'!$D$5:$D$7)), -SUMIF('Scenario Assumptions'!$A$5:$A$7,A49,'Scenario Assumptions'!$E$5:$E$7),0)</f>
        <v>0</v>
      </c>
      <c r="K49" s="5">
        <v>0</v>
      </c>
      <c r="L49" s="8">
        <f t="shared" si="8"/>
        <v>975000</v>
      </c>
      <c r="M49" s="8">
        <f>SUMIF(Entities!$A$5:$A$10,C49,Entities!$D$5:$D$10)</f>
        <v>300000</v>
      </c>
      <c r="N49" s="8">
        <f t="shared" si="9"/>
        <v>675000</v>
      </c>
      <c r="O49" s="8">
        <f t="shared" si="10"/>
        <v>718087.5</v>
      </c>
      <c r="P49" t="str">
        <f t="shared" si="11"/>
        <v>OK</v>
      </c>
    </row>
    <row r="50" spans="1:16" x14ac:dyDescent="0.25">
      <c r="A50" s="12" t="s">
        <v>174</v>
      </c>
      <c r="B50" s="9">
        <v>46270</v>
      </c>
      <c r="C50" s="12" t="s">
        <v>45</v>
      </c>
      <c r="D50" s="12" t="s">
        <v>46</v>
      </c>
      <c r="E50" s="12" t="s">
        <v>47</v>
      </c>
      <c r="F50" s="13">
        <f>SUMIF('Approved FX'!$A$5:$A$7,E50,'Approved FX'!$B$5:$B$7)</f>
        <v>0.73650000000000004</v>
      </c>
      <c r="G50" s="8">
        <f t="shared" si="12"/>
        <v>975000</v>
      </c>
      <c r="H50" s="8">
        <f>SUMIFS('Cash Flow Ledger'!$G$5:$G$135,'Cash Flow Ledger'!$A$5:$A$135,B50,'Cash Flow Ledger'!$B$5:$B$135,C50)</f>
        <v>30000</v>
      </c>
      <c r="I50" s="8">
        <f>IF(AND(C50="E004",B50=SUMIF('Scenario Assumptions'!$A$5:$A$7,A50,'Scenario Assumptions'!$B$5:$B$7)),SUMIF('Scenario Assumptions'!$A$5:$A$7,A50,'Scenario Assumptions'!$C$5:$C$7),0)</f>
        <v>0</v>
      </c>
      <c r="J50" s="8">
        <f>IF(AND(C50="E004",B50=SUMIF('Scenario Assumptions'!$A$5:$A$7,A50,'Scenario Assumptions'!$D$5:$D$7)), -SUMIF('Scenario Assumptions'!$A$5:$A$7,A50,'Scenario Assumptions'!$E$5:$E$7),0)</f>
        <v>0</v>
      </c>
      <c r="K50" s="5">
        <v>0</v>
      </c>
      <c r="L50" s="8">
        <f t="shared" si="8"/>
        <v>1005000</v>
      </c>
      <c r="M50" s="8">
        <f>SUMIF(Entities!$A$5:$A$10,C50,Entities!$D$5:$D$10)</f>
        <v>300000</v>
      </c>
      <c r="N50" s="8">
        <f t="shared" si="9"/>
        <v>705000</v>
      </c>
      <c r="O50" s="8">
        <f t="shared" si="10"/>
        <v>740182.5</v>
      </c>
      <c r="P50" t="str">
        <f t="shared" si="11"/>
        <v>OK</v>
      </c>
    </row>
    <row r="51" spans="1:16" x14ac:dyDescent="0.25">
      <c r="A51" s="12" t="s">
        <v>174</v>
      </c>
      <c r="B51" s="9">
        <v>46271</v>
      </c>
      <c r="C51" s="12" t="s">
        <v>45</v>
      </c>
      <c r="D51" s="12" t="s">
        <v>46</v>
      </c>
      <c r="E51" s="12" t="s">
        <v>47</v>
      </c>
      <c r="F51" s="13">
        <f>SUMIF('Approved FX'!$A$5:$A$7,E51,'Approved FX'!$B$5:$B$7)</f>
        <v>0.73650000000000004</v>
      </c>
      <c r="G51" s="8">
        <f t="shared" si="12"/>
        <v>1005000</v>
      </c>
      <c r="H51" s="8">
        <f>SUMIFS('Cash Flow Ledger'!$G$5:$G$135,'Cash Flow Ledger'!$A$5:$A$135,B51,'Cash Flow Ledger'!$B$5:$B$135,C51)</f>
        <v>-10000</v>
      </c>
      <c r="I51" s="8">
        <f>IF(AND(C51="E004",B51=SUMIF('Scenario Assumptions'!$A$5:$A$7,A51,'Scenario Assumptions'!$B$5:$B$7)),SUMIF('Scenario Assumptions'!$A$5:$A$7,A51,'Scenario Assumptions'!$C$5:$C$7),0)</f>
        <v>0</v>
      </c>
      <c r="J51" s="8">
        <f>IF(AND(C51="E004",B51=SUMIF('Scenario Assumptions'!$A$5:$A$7,A51,'Scenario Assumptions'!$D$5:$D$7)), -SUMIF('Scenario Assumptions'!$A$5:$A$7,A51,'Scenario Assumptions'!$E$5:$E$7),0)</f>
        <v>0</v>
      </c>
      <c r="K51" s="5">
        <v>0</v>
      </c>
      <c r="L51" s="8">
        <f t="shared" si="8"/>
        <v>995000</v>
      </c>
      <c r="M51" s="8">
        <f>SUMIF(Entities!$A$5:$A$10,C51,Entities!$D$5:$D$10)</f>
        <v>300000</v>
      </c>
      <c r="N51" s="8">
        <f t="shared" si="9"/>
        <v>695000</v>
      </c>
      <c r="O51" s="8">
        <f t="shared" si="10"/>
        <v>732817.5</v>
      </c>
      <c r="P51" t="str">
        <f t="shared" si="11"/>
        <v>OK</v>
      </c>
    </row>
    <row r="52" spans="1:16" x14ac:dyDescent="0.25">
      <c r="A52" s="12" t="s">
        <v>174</v>
      </c>
      <c r="B52" s="9">
        <v>46272</v>
      </c>
      <c r="C52" s="12" t="s">
        <v>45</v>
      </c>
      <c r="D52" s="12" t="s">
        <v>46</v>
      </c>
      <c r="E52" s="12" t="s">
        <v>47</v>
      </c>
      <c r="F52" s="13">
        <f>SUMIF('Approved FX'!$A$5:$A$7,E52,'Approved FX'!$B$5:$B$7)</f>
        <v>0.73650000000000004</v>
      </c>
      <c r="G52" s="8">
        <f t="shared" si="12"/>
        <v>995000</v>
      </c>
      <c r="H52" s="8">
        <f>SUMIFS('Cash Flow Ledger'!$G$5:$G$135,'Cash Flow Ledger'!$A$5:$A$135,B52,'Cash Flow Ledger'!$B$5:$B$135,C52)</f>
        <v>-5000</v>
      </c>
      <c r="I52" s="8">
        <f>IF(AND(C52="E004",B52=SUMIF('Scenario Assumptions'!$A$5:$A$7,A52,'Scenario Assumptions'!$B$5:$B$7)),SUMIF('Scenario Assumptions'!$A$5:$A$7,A52,'Scenario Assumptions'!$C$5:$C$7),0)</f>
        <v>0</v>
      </c>
      <c r="J52" s="8">
        <f>IF(AND(C52="E004",B52=SUMIF('Scenario Assumptions'!$A$5:$A$7,A52,'Scenario Assumptions'!$D$5:$D$7)), -SUMIF('Scenario Assumptions'!$A$5:$A$7,A52,'Scenario Assumptions'!$E$5:$E$7),0)</f>
        <v>0</v>
      </c>
      <c r="K52" s="5">
        <v>0</v>
      </c>
      <c r="L52" s="8">
        <f t="shared" si="8"/>
        <v>990000</v>
      </c>
      <c r="M52" s="8">
        <f>SUMIF(Entities!$A$5:$A$10,C52,Entities!$D$5:$D$10)</f>
        <v>300000</v>
      </c>
      <c r="N52" s="8">
        <f t="shared" si="9"/>
        <v>690000</v>
      </c>
      <c r="O52" s="8">
        <f t="shared" si="10"/>
        <v>729135</v>
      </c>
      <c r="P52" t="str">
        <f t="shared" si="11"/>
        <v>OK</v>
      </c>
    </row>
    <row r="53" spans="1:16" x14ac:dyDescent="0.25">
      <c r="A53" s="12" t="s">
        <v>174</v>
      </c>
      <c r="B53" s="9">
        <v>46273</v>
      </c>
      <c r="C53" s="12" t="s">
        <v>45</v>
      </c>
      <c r="D53" s="12" t="s">
        <v>46</v>
      </c>
      <c r="E53" s="12" t="s">
        <v>47</v>
      </c>
      <c r="F53" s="13">
        <f>SUMIF('Approved FX'!$A$5:$A$7,E53,'Approved FX'!$B$5:$B$7)</f>
        <v>0.73650000000000004</v>
      </c>
      <c r="G53" s="8">
        <f t="shared" si="12"/>
        <v>990000</v>
      </c>
      <c r="H53" s="8">
        <f>SUMIFS('Cash Flow Ledger'!$G$5:$G$135,'Cash Flow Ledger'!$A$5:$A$135,B53,'Cash Flow Ledger'!$B$5:$B$135,C53)</f>
        <v>-105000</v>
      </c>
      <c r="I53" s="8">
        <f>IF(AND(C53="E004",B53=SUMIF('Scenario Assumptions'!$A$5:$A$7,A53,'Scenario Assumptions'!$B$5:$B$7)),SUMIF('Scenario Assumptions'!$A$5:$A$7,A53,'Scenario Assumptions'!$C$5:$C$7),0)</f>
        <v>0</v>
      </c>
      <c r="J53" s="8">
        <f>IF(AND(C53="E004",B53=SUMIF('Scenario Assumptions'!$A$5:$A$7,A53,'Scenario Assumptions'!$D$5:$D$7)), -SUMIF('Scenario Assumptions'!$A$5:$A$7,A53,'Scenario Assumptions'!$E$5:$E$7),0)</f>
        <v>0</v>
      </c>
      <c r="K53" s="5">
        <v>0</v>
      </c>
      <c r="L53" s="8">
        <f t="shared" si="8"/>
        <v>885000</v>
      </c>
      <c r="M53" s="8">
        <f>SUMIF(Entities!$A$5:$A$10,C53,Entities!$D$5:$D$10)</f>
        <v>300000</v>
      </c>
      <c r="N53" s="8">
        <f t="shared" si="9"/>
        <v>585000</v>
      </c>
      <c r="O53" s="8">
        <f t="shared" si="10"/>
        <v>651802.5</v>
      </c>
      <c r="P53" t="str">
        <f t="shared" si="11"/>
        <v>OK</v>
      </c>
    </row>
    <row r="54" spans="1:16" x14ac:dyDescent="0.25">
      <c r="A54" s="12" t="s">
        <v>174</v>
      </c>
      <c r="B54" s="9">
        <v>46274</v>
      </c>
      <c r="C54" s="12" t="s">
        <v>45</v>
      </c>
      <c r="D54" s="12" t="s">
        <v>46</v>
      </c>
      <c r="E54" s="12" t="s">
        <v>47</v>
      </c>
      <c r="F54" s="13">
        <f>SUMIF('Approved FX'!$A$5:$A$7,E54,'Approved FX'!$B$5:$B$7)</f>
        <v>0.73650000000000004</v>
      </c>
      <c r="G54" s="8">
        <f t="shared" si="12"/>
        <v>885000</v>
      </c>
      <c r="H54" s="8">
        <f>SUMIFS('Cash Flow Ledger'!$G$5:$G$135,'Cash Flow Ledger'!$A$5:$A$135,B54,'Cash Flow Ledger'!$B$5:$B$135,C54)</f>
        <v>0</v>
      </c>
      <c r="I54" s="8">
        <f>IF(AND(C54="E004",B54=SUMIF('Scenario Assumptions'!$A$5:$A$7,A54,'Scenario Assumptions'!$B$5:$B$7)),SUMIF('Scenario Assumptions'!$A$5:$A$7,A54,'Scenario Assumptions'!$C$5:$C$7),0)</f>
        <v>0</v>
      </c>
      <c r="J54" s="8">
        <f>IF(AND(C54="E004",B54=SUMIF('Scenario Assumptions'!$A$5:$A$7,A54,'Scenario Assumptions'!$D$5:$D$7)), -SUMIF('Scenario Assumptions'!$A$5:$A$7,A54,'Scenario Assumptions'!$E$5:$E$7),0)</f>
        <v>0</v>
      </c>
      <c r="K54" s="5">
        <v>0</v>
      </c>
      <c r="L54" s="8">
        <f t="shared" si="8"/>
        <v>885000</v>
      </c>
      <c r="M54" s="8">
        <f>SUMIF(Entities!$A$5:$A$10,C54,Entities!$D$5:$D$10)</f>
        <v>300000</v>
      </c>
      <c r="N54" s="8">
        <f t="shared" si="9"/>
        <v>585000</v>
      </c>
      <c r="O54" s="8">
        <f t="shared" si="10"/>
        <v>651802.5</v>
      </c>
      <c r="P54" t="str">
        <f t="shared" si="11"/>
        <v>OK</v>
      </c>
    </row>
    <row r="55" spans="1:16" x14ac:dyDescent="0.25">
      <c r="A55" s="12" t="s">
        <v>174</v>
      </c>
      <c r="B55" s="9">
        <v>46265</v>
      </c>
      <c r="C55" s="12" t="s">
        <v>48</v>
      </c>
      <c r="D55" s="12" t="s">
        <v>49</v>
      </c>
      <c r="E55" s="12" t="s">
        <v>50</v>
      </c>
      <c r="F55" s="13">
        <f>SUMIF('Approved FX'!$A$5:$A$7,E55,'Approved FX'!$B$5:$B$7)</f>
        <v>1.1739999999999999</v>
      </c>
      <c r="G55" s="8">
        <f>SUMIFS('Opening Balances'!$I$5:$I$14,'Opening Balances'!$B$5:$B$14,C55)</f>
        <v>725000</v>
      </c>
      <c r="H55" s="8">
        <f>SUMIFS('Cash Flow Ledger'!$G$5:$G$135,'Cash Flow Ledger'!$A$5:$A$135,B55,'Cash Flow Ledger'!$B$5:$B$135,C55)</f>
        <v>15000</v>
      </c>
      <c r="I55" s="8">
        <f>IF(AND(C55="E004",B55=SUMIF('Scenario Assumptions'!$A$5:$A$7,A55,'Scenario Assumptions'!$B$5:$B$7)),SUMIF('Scenario Assumptions'!$A$5:$A$7,A55,'Scenario Assumptions'!$C$5:$C$7),0)</f>
        <v>0</v>
      </c>
      <c r="J55" s="8">
        <f>IF(AND(C55="E004",B55=SUMIF('Scenario Assumptions'!$A$5:$A$7,A55,'Scenario Assumptions'!$D$5:$D$7)), -SUMIF('Scenario Assumptions'!$A$5:$A$7,A55,'Scenario Assumptions'!$E$5:$E$7),0)</f>
        <v>0</v>
      </c>
      <c r="K55" s="5">
        <v>0</v>
      </c>
      <c r="L55" s="8">
        <f t="shared" si="8"/>
        <v>740000</v>
      </c>
      <c r="M55" s="8">
        <f>SUMIF(Entities!$A$5:$A$10,C55,Entities!$D$5:$D$10)</f>
        <v>400000</v>
      </c>
      <c r="N55" s="8">
        <f t="shared" si="9"/>
        <v>340000</v>
      </c>
      <c r="O55" s="8">
        <f t="shared" si="10"/>
        <v>868760</v>
      </c>
      <c r="P55" t="str">
        <f t="shared" si="11"/>
        <v>OK</v>
      </c>
    </row>
    <row r="56" spans="1:16" x14ac:dyDescent="0.25">
      <c r="A56" s="12" t="s">
        <v>174</v>
      </c>
      <c r="B56" s="9">
        <v>46266</v>
      </c>
      <c r="C56" s="12" t="s">
        <v>48</v>
      </c>
      <c r="D56" s="12" t="s">
        <v>49</v>
      </c>
      <c r="E56" s="12" t="s">
        <v>50</v>
      </c>
      <c r="F56" s="13">
        <f>SUMIF('Approved FX'!$A$5:$A$7,E56,'Approved FX'!$B$5:$B$7)</f>
        <v>1.1739999999999999</v>
      </c>
      <c r="G56" s="8">
        <f t="shared" ref="G56:G64" si="13">L55</f>
        <v>740000</v>
      </c>
      <c r="H56" s="8">
        <f>SUMIFS('Cash Flow Ledger'!$G$5:$G$135,'Cash Flow Ledger'!$A$5:$A$135,B56,'Cash Flow Ledger'!$B$5:$B$135,C56)</f>
        <v>-27500</v>
      </c>
      <c r="I56" s="8">
        <f>IF(AND(C56="E004",B56=SUMIF('Scenario Assumptions'!$A$5:$A$7,A56,'Scenario Assumptions'!$B$5:$B$7)),SUMIF('Scenario Assumptions'!$A$5:$A$7,A56,'Scenario Assumptions'!$C$5:$C$7),0)</f>
        <v>0</v>
      </c>
      <c r="J56" s="8">
        <f>IF(AND(C56="E004",B56=SUMIF('Scenario Assumptions'!$A$5:$A$7,A56,'Scenario Assumptions'!$D$5:$D$7)), -SUMIF('Scenario Assumptions'!$A$5:$A$7,A56,'Scenario Assumptions'!$E$5:$E$7),0)</f>
        <v>0</v>
      </c>
      <c r="K56" s="5">
        <v>0</v>
      </c>
      <c r="L56" s="8">
        <f t="shared" si="8"/>
        <v>712500</v>
      </c>
      <c r="M56" s="8">
        <f>SUMIF(Entities!$A$5:$A$10,C56,Entities!$D$5:$D$10)</f>
        <v>400000</v>
      </c>
      <c r="N56" s="8">
        <f t="shared" si="9"/>
        <v>312500</v>
      </c>
      <c r="O56" s="8">
        <f t="shared" si="10"/>
        <v>836475</v>
      </c>
      <c r="P56" t="str">
        <f t="shared" si="11"/>
        <v>OK</v>
      </c>
    </row>
    <row r="57" spans="1:16" x14ac:dyDescent="0.25">
      <c r="A57" s="12" t="s">
        <v>174</v>
      </c>
      <c r="B57" s="9">
        <v>46267</v>
      </c>
      <c r="C57" s="12" t="s">
        <v>48</v>
      </c>
      <c r="D57" s="12" t="s">
        <v>49</v>
      </c>
      <c r="E57" s="12" t="s">
        <v>50</v>
      </c>
      <c r="F57" s="13">
        <f>SUMIF('Approved FX'!$A$5:$A$7,E57,'Approved FX'!$B$5:$B$7)</f>
        <v>1.1739999999999999</v>
      </c>
      <c r="G57" s="8">
        <f t="shared" si="13"/>
        <v>712500</v>
      </c>
      <c r="H57" s="8">
        <f>SUMIFS('Cash Flow Ledger'!$G$5:$G$135,'Cash Flow Ledger'!$A$5:$A$135,B57,'Cash Flow Ledger'!$B$5:$B$135,C57)</f>
        <v>15000</v>
      </c>
      <c r="I57" s="8">
        <f>IF(AND(C57="E004",B57=SUMIF('Scenario Assumptions'!$A$5:$A$7,A57,'Scenario Assumptions'!$B$5:$B$7)),SUMIF('Scenario Assumptions'!$A$5:$A$7,A57,'Scenario Assumptions'!$C$5:$C$7),0)</f>
        <v>0</v>
      </c>
      <c r="J57" s="8">
        <f>IF(AND(C57="E004",B57=SUMIF('Scenario Assumptions'!$A$5:$A$7,A57,'Scenario Assumptions'!$D$5:$D$7)), -SUMIF('Scenario Assumptions'!$A$5:$A$7,A57,'Scenario Assumptions'!$E$5:$E$7),0)</f>
        <v>0</v>
      </c>
      <c r="K57" s="5">
        <v>0</v>
      </c>
      <c r="L57" s="8">
        <f t="shared" si="8"/>
        <v>727500</v>
      </c>
      <c r="M57" s="8">
        <f>SUMIF(Entities!$A$5:$A$10,C57,Entities!$D$5:$D$10)</f>
        <v>400000</v>
      </c>
      <c r="N57" s="8">
        <f t="shared" si="9"/>
        <v>327500</v>
      </c>
      <c r="O57" s="8">
        <f t="shared" si="10"/>
        <v>854085</v>
      </c>
      <c r="P57" t="str">
        <f t="shared" si="11"/>
        <v>OK</v>
      </c>
    </row>
    <row r="58" spans="1:16" x14ac:dyDescent="0.25">
      <c r="A58" s="12" t="s">
        <v>174</v>
      </c>
      <c r="B58" s="9">
        <v>46268</v>
      </c>
      <c r="C58" s="12" t="s">
        <v>48</v>
      </c>
      <c r="D58" s="12" t="s">
        <v>49</v>
      </c>
      <c r="E58" s="12" t="s">
        <v>50</v>
      </c>
      <c r="F58" s="13">
        <f>SUMIF('Approved FX'!$A$5:$A$7,E58,'Approved FX'!$B$5:$B$7)</f>
        <v>1.1739999999999999</v>
      </c>
      <c r="G58" s="8">
        <f t="shared" si="13"/>
        <v>727500</v>
      </c>
      <c r="H58" s="8">
        <f>SUMIFS('Cash Flow Ledger'!$G$5:$G$135,'Cash Flow Ledger'!$A$5:$A$135,B58,'Cash Flow Ledger'!$B$5:$B$135,C58)</f>
        <v>-25000</v>
      </c>
      <c r="I58" s="8">
        <f>IF(AND(C58="E004",B58=SUMIF('Scenario Assumptions'!$A$5:$A$7,A58,'Scenario Assumptions'!$B$5:$B$7)),SUMIF('Scenario Assumptions'!$A$5:$A$7,A58,'Scenario Assumptions'!$C$5:$C$7),0)</f>
        <v>0</v>
      </c>
      <c r="J58" s="8">
        <f>IF(AND(C58="E004",B58=SUMIF('Scenario Assumptions'!$A$5:$A$7,A58,'Scenario Assumptions'!$D$5:$D$7)), -SUMIF('Scenario Assumptions'!$A$5:$A$7,A58,'Scenario Assumptions'!$E$5:$E$7),0)</f>
        <v>0</v>
      </c>
      <c r="K58" s="5">
        <v>0</v>
      </c>
      <c r="L58" s="8">
        <f t="shared" si="8"/>
        <v>702500</v>
      </c>
      <c r="M58" s="8">
        <f>SUMIF(Entities!$A$5:$A$10,C58,Entities!$D$5:$D$10)</f>
        <v>400000</v>
      </c>
      <c r="N58" s="8">
        <f t="shared" si="9"/>
        <v>302500</v>
      </c>
      <c r="O58" s="8">
        <f t="shared" si="10"/>
        <v>824735</v>
      </c>
      <c r="P58" t="str">
        <f t="shared" si="11"/>
        <v>OK</v>
      </c>
    </row>
    <row r="59" spans="1:16" x14ac:dyDescent="0.25">
      <c r="A59" s="12" t="s">
        <v>174</v>
      </c>
      <c r="B59" s="9">
        <v>46269</v>
      </c>
      <c r="C59" s="12" t="s">
        <v>48</v>
      </c>
      <c r="D59" s="12" t="s">
        <v>49</v>
      </c>
      <c r="E59" s="12" t="s">
        <v>50</v>
      </c>
      <c r="F59" s="13">
        <f>SUMIF('Approved FX'!$A$5:$A$7,E59,'Approved FX'!$B$5:$B$7)</f>
        <v>1.1739999999999999</v>
      </c>
      <c r="G59" s="8">
        <f t="shared" si="13"/>
        <v>702500</v>
      </c>
      <c r="H59" s="8">
        <f>SUMIFS('Cash Flow Ledger'!$G$5:$G$135,'Cash Flow Ledger'!$A$5:$A$135,B59,'Cash Flow Ledger'!$B$5:$B$135,C59)</f>
        <v>15000</v>
      </c>
      <c r="I59" s="8">
        <f>IF(AND(C59="E004",B59=SUMIF('Scenario Assumptions'!$A$5:$A$7,A59,'Scenario Assumptions'!$B$5:$B$7)),SUMIF('Scenario Assumptions'!$A$5:$A$7,A59,'Scenario Assumptions'!$C$5:$C$7),0)</f>
        <v>0</v>
      </c>
      <c r="J59" s="8">
        <f>IF(AND(C59="E004",B59=SUMIF('Scenario Assumptions'!$A$5:$A$7,A59,'Scenario Assumptions'!$D$5:$D$7)), -SUMIF('Scenario Assumptions'!$A$5:$A$7,A59,'Scenario Assumptions'!$E$5:$E$7),0)</f>
        <v>0</v>
      </c>
      <c r="K59" s="5">
        <v>0</v>
      </c>
      <c r="L59" s="8">
        <f t="shared" si="8"/>
        <v>717500</v>
      </c>
      <c r="M59" s="8">
        <f>SUMIF(Entities!$A$5:$A$10,C59,Entities!$D$5:$D$10)</f>
        <v>400000</v>
      </c>
      <c r="N59" s="8">
        <f t="shared" si="9"/>
        <v>317500</v>
      </c>
      <c r="O59" s="8">
        <f t="shared" si="10"/>
        <v>842345</v>
      </c>
      <c r="P59" t="str">
        <f t="shared" si="11"/>
        <v>OK</v>
      </c>
    </row>
    <row r="60" spans="1:16" x14ac:dyDescent="0.25">
      <c r="A60" s="12" t="s">
        <v>174</v>
      </c>
      <c r="B60" s="9">
        <v>46270</v>
      </c>
      <c r="C60" s="12" t="s">
        <v>48</v>
      </c>
      <c r="D60" s="12" t="s">
        <v>49</v>
      </c>
      <c r="E60" s="12" t="s">
        <v>50</v>
      </c>
      <c r="F60" s="13">
        <f>SUMIF('Approved FX'!$A$5:$A$7,E60,'Approved FX'!$B$5:$B$7)</f>
        <v>1.1739999999999999</v>
      </c>
      <c r="G60" s="8">
        <f t="shared" si="13"/>
        <v>717500</v>
      </c>
      <c r="H60" s="8">
        <f>SUMIFS('Cash Flow Ledger'!$G$5:$G$135,'Cash Flow Ledger'!$A$5:$A$135,B60,'Cash Flow Ledger'!$B$5:$B$135,C60)</f>
        <v>-25000</v>
      </c>
      <c r="I60" s="8">
        <f>IF(AND(C60="E004",B60=SUMIF('Scenario Assumptions'!$A$5:$A$7,A60,'Scenario Assumptions'!$B$5:$B$7)),SUMIF('Scenario Assumptions'!$A$5:$A$7,A60,'Scenario Assumptions'!$C$5:$C$7),0)</f>
        <v>0</v>
      </c>
      <c r="J60" s="8">
        <f>IF(AND(C60="E004",B60=SUMIF('Scenario Assumptions'!$A$5:$A$7,A60,'Scenario Assumptions'!$D$5:$D$7)), -SUMIF('Scenario Assumptions'!$A$5:$A$7,A60,'Scenario Assumptions'!$E$5:$E$7),0)</f>
        <v>0</v>
      </c>
      <c r="K60" s="5">
        <v>0</v>
      </c>
      <c r="L60" s="8">
        <f t="shared" si="8"/>
        <v>692500</v>
      </c>
      <c r="M60" s="8">
        <f>SUMIF(Entities!$A$5:$A$10,C60,Entities!$D$5:$D$10)</f>
        <v>400000</v>
      </c>
      <c r="N60" s="8">
        <f t="shared" si="9"/>
        <v>292500</v>
      </c>
      <c r="O60" s="8">
        <f t="shared" si="10"/>
        <v>812995</v>
      </c>
      <c r="P60" t="str">
        <f t="shared" si="11"/>
        <v>OK</v>
      </c>
    </row>
    <row r="61" spans="1:16" x14ac:dyDescent="0.25">
      <c r="A61" s="12" t="s">
        <v>174</v>
      </c>
      <c r="B61" s="9">
        <v>46271</v>
      </c>
      <c r="C61" s="12" t="s">
        <v>48</v>
      </c>
      <c r="D61" s="12" t="s">
        <v>49</v>
      </c>
      <c r="E61" s="12" t="s">
        <v>50</v>
      </c>
      <c r="F61" s="13">
        <f>SUMIF('Approved FX'!$A$5:$A$7,E61,'Approved FX'!$B$5:$B$7)</f>
        <v>1.1739999999999999</v>
      </c>
      <c r="G61" s="8">
        <f t="shared" si="13"/>
        <v>692500</v>
      </c>
      <c r="H61" s="8">
        <f>SUMIFS('Cash Flow Ledger'!$G$5:$G$135,'Cash Flow Ledger'!$A$5:$A$135,B61,'Cash Flow Ledger'!$B$5:$B$135,C61)</f>
        <v>15000</v>
      </c>
      <c r="I61" s="8">
        <f>IF(AND(C61="E004",B61=SUMIF('Scenario Assumptions'!$A$5:$A$7,A61,'Scenario Assumptions'!$B$5:$B$7)),SUMIF('Scenario Assumptions'!$A$5:$A$7,A61,'Scenario Assumptions'!$C$5:$C$7),0)</f>
        <v>0</v>
      </c>
      <c r="J61" s="8">
        <f>IF(AND(C61="E004",B61=SUMIF('Scenario Assumptions'!$A$5:$A$7,A61,'Scenario Assumptions'!$D$5:$D$7)), -SUMIF('Scenario Assumptions'!$A$5:$A$7,A61,'Scenario Assumptions'!$E$5:$E$7),0)</f>
        <v>0</v>
      </c>
      <c r="K61" s="5">
        <v>0</v>
      </c>
      <c r="L61" s="8">
        <f t="shared" si="8"/>
        <v>707500</v>
      </c>
      <c r="M61" s="8">
        <f>SUMIF(Entities!$A$5:$A$10,C61,Entities!$D$5:$D$10)</f>
        <v>400000</v>
      </c>
      <c r="N61" s="8">
        <f t="shared" si="9"/>
        <v>307500</v>
      </c>
      <c r="O61" s="8">
        <f t="shared" si="10"/>
        <v>830605</v>
      </c>
      <c r="P61" t="str">
        <f t="shared" si="11"/>
        <v>OK</v>
      </c>
    </row>
    <row r="62" spans="1:16" x14ac:dyDescent="0.25">
      <c r="A62" s="12" t="s">
        <v>174</v>
      </c>
      <c r="B62" s="9">
        <v>46272</v>
      </c>
      <c r="C62" s="12" t="s">
        <v>48</v>
      </c>
      <c r="D62" s="12" t="s">
        <v>49</v>
      </c>
      <c r="E62" s="12" t="s">
        <v>50</v>
      </c>
      <c r="F62" s="13">
        <f>SUMIF('Approved FX'!$A$5:$A$7,E62,'Approved FX'!$B$5:$B$7)</f>
        <v>1.1739999999999999</v>
      </c>
      <c r="G62" s="8">
        <f t="shared" si="13"/>
        <v>707500</v>
      </c>
      <c r="H62" s="8">
        <f>SUMIFS('Cash Flow Ledger'!$G$5:$G$135,'Cash Flow Ledger'!$A$5:$A$135,B62,'Cash Flow Ledger'!$B$5:$B$135,C62)</f>
        <v>-25000</v>
      </c>
      <c r="I62" s="8">
        <f>IF(AND(C62="E004",B62=SUMIF('Scenario Assumptions'!$A$5:$A$7,A62,'Scenario Assumptions'!$B$5:$B$7)),SUMIF('Scenario Assumptions'!$A$5:$A$7,A62,'Scenario Assumptions'!$C$5:$C$7),0)</f>
        <v>0</v>
      </c>
      <c r="J62" s="8">
        <f>IF(AND(C62="E004",B62=SUMIF('Scenario Assumptions'!$A$5:$A$7,A62,'Scenario Assumptions'!$D$5:$D$7)), -SUMIF('Scenario Assumptions'!$A$5:$A$7,A62,'Scenario Assumptions'!$E$5:$E$7),0)</f>
        <v>0</v>
      </c>
      <c r="K62" s="5">
        <v>0</v>
      </c>
      <c r="L62" s="8">
        <f t="shared" si="8"/>
        <v>682500</v>
      </c>
      <c r="M62" s="8">
        <f>SUMIF(Entities!$A$5:$A$10,C62,Entities!$D$5:$D$10)</f>
        <v>400000</v>
      </c>
      <c r="N62" s="8">
        <f t="shared" si="9"/>
        <v>282500</v>
      </c>
      <c r="O62" s="8">
        <f t="shared" si="10"/>
        <v>801255</v>
      </c>
      <c r="P62" t="str">
        <f t="shared" si="11"/>
        <v>OK</v>
      </c>
    </row>
    <row r="63" spans="1:16" x14ac:dyDescent="0.25">
      <c r="A63" s="12" t="s">
        <v>174</v>
      </c>
      <c r="B63" s="9">
        <v>46273</v>
      </c>
      <c r="C63" s="12" t="s">
        <v>48</v>
      </c>
      <c r="D63" s="12" t="s">
        <v>49</v>
      </c>
      <c r="E63" s="12" t="s">
        <v>50</v>
      </c>
      <c r="F63" s="13">
        <f>SUMIF('Approved FX'!$A$5:$A$7,E63,'Approved FX'!$B$5:$B$7)</f>
        <v>1.1739999999999999</v>
      </c>
      <c r="G63" s="8">
        <f t="shared" si="13"/>
        <v>682500</v>
      </c>
      <c r="H63" s="8">
        <f>SUMIFS('Cash Flow Ledger'!$G$5:$G$135,'Cash Flow Ledger'!$A$5:$A$135,B63,'Cash Flow Ledger'!$B$5:$B$135,C63)</f>
        <v>15000</v>
      </c>
      <c r="I63" s="8">
        <f>IF(AND(C63="E004",B63=SUMIF('Scenario Assumptions'!$A$5:$A$7,A63,'Scenario Assumptions'!$B$5:$B$7)),SUMIF('Scenario Assumptions'!$A$5:$A$7,A63,'Scenario Assumptions'!$C$5:$C$7),0)</f>
        <v>0</v>
      </c>
      <c r="J63" s="8">
        <f>IF(AND(C63="E004",B63=SUMIF('Scenario Assumptions'!$A$5:$A$7,A63,'Scenario Assumptions'!$D$5:$D$7)), -SUMIF('Scenario Assumptions'!$A$5:$A$7,A63,'Scenario Assumptions'!$E$5:$E$7),0)</f>
        <v>0</v>
      </c>
      <c r="K63" s="5">
        <v>0</v>
      </c>
      <c r="L63" s="8">
        <f t="shared" si="8"/>
        <v>697500</v>
      </c>
      <c r="M63" s="8">
        <f>SUMIF(Entities!$A$5:$A$10,C63,Entities!$D$5:$D$10)</f>
        <v>400000</v>
      </c>
      <c r="N63" s="8">
        <f t="shared" si="9"/>
        <v>297500</v>
      </c>
      <c r="O63" s="8">
        <f t="shared" si="10"/>
        <v>818865</v>
      </c>
      <c r="P63" t="str">
        <f t="shared" si="11"/>
        <v>OK</v>
      </c>
    </row>
    <row r="64" spans="1:16" x14ac:dyDescent="0.25">
      <c r="A64" s="12" t="s">
        <v>174</v>
      </c>
      <c r="B64" s="9">
        <v>46274</v>
      </c>
      <c r="C64" s="12" t="s">
        <v>48</v>
      </c>
      <c r="D64" s="12" t="s">
        <v>49</v>
      </c>
      <c r="E64" s="12" t="s">
        <v>50</v>
      </c>
      <c r="F64" s="13">
        <f>SUMIF('Approved FX'!$A$5:$A$7,E64,'Approved FX'!$B$5:$B$7)</f>
        <v>1.1739999999999999</v>
      </c>
      <c r="G64" s="8">
        <f t="shared" si="13"/>
        <v>697500</v>
      </c>
      <c r="H64" s="8">
        <f>SUMIFS('Cash Flow Ledger'!$G$5:$G$135,'Cash Flow Ledger'!$A$5:$A$135,B64,'Cash Flow Ledger'!$B$5:$B$135,C64)</f>
        <v>-300000</v>
      </c>
      <c r="I64" s="8">
        <f>IF(AND(C64="E004",B64=SUMIF('Scenario Assumptions'!$A$5:$A$7,A64,'Scenario Assumptions'!$B$5:$B$7)),SUMIF('Scenario Assumptions'!$A$5:$A$7,A64,'Scenario Assumptions'!$C$5:$C$7),0)</f>
        <v>0</v>
      </c>
      <c r="J64" s="8">
        <f>IF(AND(C64="E004",B64=SUMIF('Scenario Assumptions'!$A$5:$A$7,A64,'Scenario Assumptions'!$D$5:$D$7)), -SUMIF('Scenario Assumptions'!$A$5:$A$7,A64,'Scenario Assumptions'!$E$5:$E$7),0)</f>
        <v>0</v>
      </c>
      <c r="K64" s="5">
        <v>0</v>
      </c>
      <c r="L64" s="8">
        <f t="shared" si="8"/>
        <v>397500</v>
      </c>
      <c r="M64" s="8">
        <f>SUMIF(Entities!$A$5:$A$10,C64,Entities!$D$5:$D$10)</f>
        <v>400000</v>
      </c>
      <c r="N64" s="8">
        <f t="shared" si="9"/>
        <v>-2500</v>
      </c>
      <c r="O64" s="8">
        <f t="shared" si="10"/>
        <v>466665</v>
      </c>
      <c r="P64" t="str">
        <f t="shared" si="11"/>
        <v>BELOW MINIMUM</v>
      </c>
    </row>
    <row r="65" spans="1:16" x14ac:dyDescent="0.25">
      <c r="A65" s="12" t="s">
        <v>177</v>
      </c>
      <c r="B65" s="9">
        <v>46265</v>
      </c>
      <c r="C65" s="12" t="s">
        <v>34</v>
      </c>
      <c r="D65" s="12" t="s">
        <v>35</v>
      </c>
      <c r="E65" s="12" t="s">
        <v>36</v>
      </c>
      <c r="F65" s="13">
        <f>SUMIF('Approved FX'!$A$5:$A$7,E65,'Approved FX'!$B$5:$B$7)</f>
        <v>1</v>
      </c>
      <c r="G65" s="8">
        <f>SUMIFS('Opening Balances'!$I$5:$I$14,'Opening Balances'!$B$5:$B$14,C65)</f>
        <v>2400000</v>
      </c>
      <c r="H65" s="8">
        <f>SUMIFS('Cash Flow Ledger'!$G$5:$G$135,'Cash Flow Ledger'!$A$5:$A$135,B65,'Cash Flow Ledger'!$B$5:$B$135,C65)</f>
        <v>0</v>
      </c>
      <c r="I65" s="8">
        <f>IF(AND(C65="E004",B65=SUMIF('Scenario Assumptions'!$A$5:$A$7,A65,'Scenario Assumptions'!$B$5:$B$7)),SUMIF('Scenario Assumptions'!$A$5:$A$7,A65,'Scenario Assumptions'!$C$5:$C$7),0)</f>
        <v>0</v>
      </c>
      <c r="J65" s="8">
        <f>IF(AND(C65="E004",B65=SUMIF('Scenario Assumptions'!$A$5:$A$7,A65,'Scenario Assumptions'!$D$5:$D$7)), -SUMIF('Scenario Assumptions'!$A$5:$A$7,A65,'Scenario Assumptions'!$E$5:$E$7),0)</f>
        <v>0</v>
      </c>
      <c r="K65" s="5">
        <v>0</v>
      </c>
      <c r="L65" s="8">
        <f t="shared" si="8"/>
        <v>2400000</v>
      </c>
      <c r="M65" s="8">
        <f>SUMIF(Entities!$A$5:$A$10,C65,Entities!$D$5:$D$10)</f>
        <v>750000</v>
      </c>
      <c r="N65" s="8">
        <f t="shared" si="9"/>
        <v>1650000</v>
      </c>
      <c r="O65" s="8">
        <f t="shared" si="10"/>
        <v>2400000</v>
      </c>
      <c r="P65" t="str">
        <f t="shared" si="11"/>
        <v>OK</v>
      </c>
    </row>
    <row r="66" spans="1:16" x14ac:dyDescent="0.25">
      <c r="A66" s="12" t="s">
        <v>177</v>
      </c>
      <c r="B66" s="9">
        <v>46266</v>
      </c>
      <c r="C66" s="12" t="s">
        <v>34</v>
      </c>
      <c r="D66" s="12" t="s">
        <v>35</v>
      </c>
      <c r="E66" s="12" t="s">
        <v>36</v>
      </c>
      <c r="F66" s="13">
        <f>SUMIF('Approved FX'!$A$5:$A$7,E66,'Approved FX'!$B$5:$B$7)</f>
        <v>1</v>
      </c>
      <c r="G66" s="8">
        <f t="shared" ref="G66:G74" si="14">L65</f>
        <v>2400000</v>
      </c>
      <c r="H66" s="8">
        <f>SUMIFS('Cash Flow Ledger'!$G$5:$G$135,'Cash Flow Ledger'!$A$5:$A$135,B66,'Cash Flow Ledger'!$B$5:$B$135,C66)</f>
        <v>0</v>
      </c>
      <c r="I66" s="8">
        <f>IF(AND(C66="E004",B66=SUMIF('Scenario Assumptions'!$A$5:$A$7,A66,'Scenario Assumptions'!$B$5:$B$7)),SUMIF('Scenario Assumptions'!$A$5:$A$7,A66,'Scenario Assumptions'!$C$5:$C$7),0)</f>
        <v>0</v>
      </c>
      <c r="J66" s="8">
        <f>IF(AND(C66="E004",B66=SUMIF('Scenario Assumptions'!$A$5:$A$7,A66,'Scenario Assumptions'!$D$5:$D$7)), -SUMIF('Scenario Assumptions'!$A$5:$A$7,A66,'Scenario Assumptions'!$E$5:$E$7),0)</f>
        <v>0</v>
      </c>
      <c r="K66" s="5">
        <v>0</v>
      </c>
      <c r="L66" s="8">
        <f t="shared" si="8"/>
        <v>2400000</v>
      </c>
      <c r="M66" s="8">
        <f>SUMIF(Entities!$A$5:$A$10,C66,Entities!$D$5:$D$10)</f>
        <v>750000</v>
      </c>
      <c r="N66" s="8">
        <f t="shared" si="9"/>
        <v>1650000</v>
      </c>
      <c r="O66" s="8">
        <f t="shared" si="10"/>
        <v>2400000</v>
      </c>
      <c r="P66" t="str">
        <f t="shared" si="11"/>
        <v>OK</v>
      </c>
    </row>
    <row r="67" spans="1:16" x14ac:dyDescent="0.25">
      <c r="A67" s="12" t="s">
        <v>177</v>
      </c>
      <c r="B67" s="9">
        <v>46267</v>
      </c>
      <c r="C67" s="12" t="s">
        <v>34</v>
      </c>
      <c r="D67" s="12" t="s">
        <v>35</v>
      </c>
      <c r="E67" s="12" t="s">
        <v>36</v>
      </c>
      <c r="F67" s="13">
        <f>SUMIF('Approved FX'!$A$5:$A$7,E67,'Approved FX'!$B$5:$B$7)</f>
        <v>1</v>
      </c>
      <c r="G67" s="8">
        <f t="shared" si="14"/>
        <v>2400000</v>
      </c>
      <c r="H67" s="8">
        <f>SUMIFS('Cash Flow Ledger'!$G$5:$G$135,'Cash Flow Ledger'!$A$5:$A$135,B67,'Cash Flow Ledger'!$B$5:$B$135,C67)</f>
        <v>170000</v>
      </c>
      <c r="I67" s="8">
        <f>IF(AND(C67="E004",B67=SUMIF('Scenario Assumptions'!$A$5:$A$7,A67,'Scenario Assumptions'!$B$5:$B$7)),SUMIF('Scenario Assumptions'!$A$5:$A$7,A67,'Scenario Assumptions'!$C$5:$C$7),0)</f>
        <v>0</v>
      </c>
      <c r="J67" s="8">
        <f>IF(AND(C67="E004",B67=SUMIF('Scenario Assumptions'!$A$5:$A$7,A67,'Scenario Assumptions'!$D$5:$D$7)), -SUMIF('Scenario Assumptions'!$A$5:$A$7,A67,'Scenario Assumptions'!$E$5:$E$7),0)</f>
        <v>0</v>
      </c>
      <c r="K67" s="5">
        <v>0</v>
      </c>
      <c r="L67" s="8">
        <f t="shared" si="8"/>
        <v>2570000</v>
      </c>
      <c r="M67" s="8">
        <f>SUMIF(Entities!$A$5:$A$10,C67,Entities!$D$5:$D$10)</f>
        <v>750000</v>
      </c>
      <c r="N67" s="8">
        <f t="shared" si="9"/>
        <v>1820000</v>
      </c>
      <c r="O67" s="8">
        <f t="shared" si="10"/>
        <v>2570000</v>
      </c>
      <c r="P67" t="str">
        <f t="shared" si="11"/>
        <v>OK</v>
      </c>
    </row>
    <row r="68" spans="1:16" x14ac:dyDescent="0.25">
      <c r="A68" s="12" t="s">
        <v>177</v>
      </c>
      <c r="B68" s="9">
        <v>46268</v>
      </c>
      <c r="C68" s="12" t="s">
        <v>34</v>
      </c>
      <c r="D68" s="12" t="s">
        <v>35</v>
      </c>
      <c r="E68" s="12" t="s">
        <v>36</v>
      </c>
      <c r="F68" s="13">
        <f>SUMIF('Approved FX'!$A$5:$A$7,E68,'Approved FX'!$B$5:$B$7)</f>
        <v>1</v>
      </c>
      <c r="G68" s="8">
        <f t="shared" si="14"/>
        <v>2570000</v>
      </c>
      <c r="H68" s="8">
        <f>SUMIFS('Cash Flow Ledger'!$G$5:$G$135,'Cash Flow Ledger'!$A$5:$A$135,B68,'Cash Flow Ledger'!$B$5:$B$135,C68)</f>
        <v>0</v>
      </c>
      <c r="I68" s="8">
        <f>IF(AND(C68="E004",B68=SUMIF('Scenario Assumptions'!$A$5:$A$7,A68,'Scenario Assumptions'!$B$5:$B$7)),SUMIF('Scenario Assumptions'!$A$5:$A$7,A68,'Scenario Assumptions'!$C$5:$C$7),0)</f>
        <v>0</v>
      </c>
      <c r="J68" s="8">
        <f>IF(AND(C68="E004",B68=SUMIF('Scenario Assumptions'!$A$5:$A$7,A68,'Scenario Assumptions'!$D$5:$D$7)), -SUMIF('Scenario Assumptions'!$A$5:$A$7,A68,'Scenario Assumptions'!$E$5:$E$7),0)</f>
        <v>0</v>
      </c>
      <c r="K68" s="5">
        <v>0</v>
      </c>
      <c r="L68" s="8">
        <f t="shared" si="8"/>
        <v>2570000</v>
      </c>
      <c r="M68" s="8">
        <f>SUMIF(Entities!$A$5:$A$10,C68,Entities!$D$5:$D$10)</f>
        <v>750000</v>
      </c>
      <c r="N68" s="8">
        <f t="shared" si="9"/>
        <v>1820000</v>
      </c>
      <c r="O68" s="8">
        <f t="shared" si="10"/>
        <v>2570000</v>
      </c>
      <c r="P68" t="str">
        <f t="shared" si="11"/>
        <v>OK</v>
      </c>
    </row>
    <row r="69" spans="1:16" x14ac:dyDescent="0.25">
      <c r="A69" s="12" t="s">
        <v>177</v>
      </c>
      <c r="B69" s="9">
        <v>46269</v>
      </c>
      <c r="C69" s="12" t="s">
        <v>34</v>
      </c>
      <c r="D69" s="12" t="s">
        <v>35</v>
      </c>
      <c r="E69" s="12" t="s">
        <v>36</v>
      </c>
      <c r="F69" s="13">
        <f>SUMIF('Approved FX'!$A$5:$A$7,E69,'Approved FX'!$B$5:$B$7)</f>
        <v>1</v>
      </c>
      <c r="G69" s="8">
        <f t="shared" si="14"/>
        <v>2570000</v>
      </c>
      <c r="H69" s="8">
        <f>SUMIFS('Cash Flow Ledger'!$G$5:$G$135,'Cash Flow Ledger'!$A$5:$A$135,B69,'Cash Flow Ledger'!$B$5:$B$135,C69)</f>
        <v>-450000</v>
      </c>
      <c r="I69" s="8">
        <f>IF(AND(C69="E004",B69=SUMIF('Scenario Assumptions'!$A$5:$A$7,A69,'Scenario Assumptions'!$B$5:$B$7)),SUMIF('Scenario Assumptions'!$A$5:$A$7,A69,'Scenario Assumptions'!$C$5:$C$7),0)</f>
        <v>0</v>
      </c>
      <c r="J69" s="8">
        <f>IF(AND(C69="E004",B69=SUMIF('Scenario Assumptions'!$A$5:$A$7,A69,'Scenario Assumptions'!$D$5:$D$7)), -SUMIF('Scenario Assumptions'!$A$5:$A$7,A69,'Scenario Assumptions'!$E$5:$E$7),0)</f>
        <v>0</v>
      </c>
      <c r="K69" s="5">
        <v>0</v>
      </c>
      <c r="L69" s="8">
        <f t="shared" ref="L69:L100" si="15">G69+H69+I69+J69+K69</f>
        <v>2120000</v>
      </c>
      <c r="M69" s="8">
        <f>SUMIF(Entities!$A$5:$A$10,C69,Entities!$D$5:$D$10)</f>
        <v>750000</v>
      </c>
      <c r="N69" s="8">
        <f t="shared" ref="N69:N100" si="16">L69-M69</f>
        <v>1370000</v>
      </c>
      <c r="O69" s="8">
        <f t="shared" ref="O69:O100" si="17">L69*F69</f>
        <v>2120000</v>
      </c>
      <c r="P69" t="str">
        <f t="shared" ref="P69:P100" si="18">IF(L69&lt;0,"NEGATIVE",IF(L69&lt;M69,"BELOW MINIMUM","OK"))</f>
        <v>OK</v>
      </c>
    </row>
    <row r="70" spans="1:16" x14ac:dyDescent="0.25">
      <c r="A70" s="12" t="s">
        <v>177</v>
      </c>
      <c r="B70" s="9">
        <v>46270</v>
      </c>
      <c r="C70" s="12" t="s">
        <v>34</v>
      </c>
      <c r="D70" s="12" t="s">
        <v>35</v>
      </c>
      <c r="E70" s="12" t="s">
        <v>36</v>
      </c>
      <c r="F70" s="13">
        <f>SUMIF('Approved FX'!$A$5:$A$7,E70,'Approved FX'!$B$5:$B$7)</f>
        <v>1</v>
      </c>
      <c r="G70" s="8">
        <f t="shared" si="14"/>
        <v>2120000</v>
      </c>
      <c r="H70" s="8">
        <f>SUMIFS('Cash Flow Ledger'!$G$5:$G$135,'Cash Flow Ledger'!$A$5:$A$135,B70,'Cash Flow Ledger'!$B$5:$B$135,C70)</f>
        <v>0</v>
      </c>
      <c r="I70" s="8">
        <f>IF(AND(C70="E004",B70=SUMIF('Scenario Assumptions'!$A$5:$A$7,A70,'Scenario Assumptions'!$B$5:$B$7)),SUMIF('Scenario Assumptions'!$A$5:$A$7,A70,'Scenario Assumptions'!$C$5:$C$7),0)</f>
        <v>0</v>
      </c>
      <c r="J70" s="8">
        <f>IF(AND(C70="E004",B70=SUMIF('Scenario Assumptions'!$A$5:$A$7,A70,'Scenario Assumptions'!$D$5:$D$7)), -SUMIF('Scenario Assumptions'!$A$5:$A$7,A70,'Scenario Assumptions'!$E$5:$E$7),0)</f>
        <v>0</v>
      </c>
      <c r="K70" s="5">
        <v>0</v>
      </c>
      <c r="L70" s="8">
        <f t="shared" si="15"/>
        <v>2120000</v>
      </c>
      <c r="M70" s="8">
        <f>SUMIF(Entities!$A$5:$A$10,C70,Entities!$D$5:$D$10)</f>
        <v>750000</v>
      </c>
      <c r="N70" s="8">
        <f t="shared" si="16"/>
        <v>1370000</v>
      </c>
      <c r="O70" s="8">
        <f t="shared" si="17"/>
        <v>2120000</v>
      </c>
      <c r="P70" t="str">
        <f t="shared" si="18"/>
        <v>OK</v>
      </c>
    </row>
    <row r="71" spans="1:16" x14ac:dyDescent="0.25">
      <c r="A71" s="12" t="s">
        <v>177</v>
      </c>
      <c r="B71" s="9">
        <v>46271</v>
      </c>
      <c r="C71" s="12" t="s">
        <v>34</v>
      </c>
      <c r="D71" s="12" t="s">
        <v>35</v>
      </c>
      <c r="E71" s="12" t="s">
        <v>36</v>
      </c>
      <c r="F71" s="13">
        <f>SUMIF('Approved FX'!$A$5:$A$7,E71,'Approved FX'!$B$5:$B$7)</f>
        <v>1</v>
      </c>
      <c r="G71" s="8">
        <f t="shared" si="14"/>
        <v>2120000</v>
      </c>
      <c r="H71" s="8">
        <f>SUMIFS('Cash Flow Ledger'!$G$5:$G$135,'Cash Flow Ledger'!$A$5:$A$135,B71,'Cash Flow Ledger'!$B$5:$B$135,C71)</f>
        <v>0</v>
      </c>
      <c r="I71" s="8">
        <f>IF(AND(C71="E004",B71=SUMIF('Scenario Assumptions'!$A$5:$A$7,A71,'Scenario Assumptions'!$B$5:$B$7)),SUMIF('Scenario Assumptions'!$A$5:$A$7,A71,'Scenario Assumptions'!$C$5:$C$7),0)</f>
        <v>0</v>
      </c>
      <c r="J71" s="8">
        <f>IF(AND(C71="E004",B71=SUMIF('Scenario Assumptions'!$A$5:$A$7,A71,'Scenario Assumptions'!$D$5:$D$7)), -SUMIF('Scenario Assumptions'!$A$5:$A$7,A71,'Scenario Assumptions'!$E$5:$E$7),0)</f>
        <v>0</v>
      </c>
      <c r="K71" s="5">
        <v>0</v>
      </c>
      <c r="L71" s="8">
        <f t="shared" si="15"/>
        <v>2120000</v>
      </c>
      <c r="M71" s="8">
        <f>SUMIF(Entities!$A$5:$A$10,C71,Entities!$D$5:$D$10)</f>
        <v>750000</v>
      </c>
      <c r="N71" s="8">
        <f t="shared" si="16"/>
        <v>1370000</v>
      </c>
      <c r="O71" s="8">
        <f t="shared" si="17"/>
        <v>2120000</v>
      </c>
      <c r="P71" t="str">
        <f t="shared" si="18"/>
        <v>OK</v>
      </c>
    </row>
    <row r="72" spans="1:16" x14ac:dyDescent="0.25">
      <c r="A72" s="12" t="s">
        <v>177</v>
      </c>
      <c r="B72" s="9">
        <v>46272</v>
      </c>
      <c r="C72" s="12" t="s">
        <v>34</v>
      </c>
      <c r="D72" s="12" t="s">
        <v>35</v>
      </c>
      <c r="E72" s="12" t="s">
        <v>36</v>
      </c>
      <c r="F72" s="13">
        <f>SUMIF('Approved FX'!$A$5:$A$7,E72,'Approved FX'!$B$5:$B$7)</f>
        <v>1</v>
      </c>
      <c r="G72" s="8">
        <f t="shared" si="14"/>
        <v>2120000</v>
      </c>
      <c r="H72" s="8">
        <f>SUMIFS('Cash Flow Ledger'!$G$5:$G$135,'Cash Flow Ledger'!$A$5:$A$135,B72,'Cash Flow Ledger'!$B$5:$B$135,C72)</f>
        <v>170000</v>
      </c>
      <c r="I72" s="8">
        <f>IF(AND(C72="E004",B72=SUMIF('Scenario Assumptions'!$A$5:$A$7,A72,'Scenario Assumptions'!$B$5:$B$7)),SUMIF('Scenario Assumptions'!$A$5:$A$7,A72,'Scenario Assumptions'!$C$5:$C$7),0)</f>
        <v>0</v>
      </c>
      <c r="J72" s="8">
        <f>IF(AND(C72="E004",B72=SUMIF('Scenario Assumptions'!$A$5:$A$7,A72,'Scenario Assumptions'!$D$5:$D$7)), -SUMIF('Scenario Assumptions'!$A$5:$A$7,A72,'Scenario Assumptions'!$E$5:$E$7),0)</f>
        <v>0</v>
      </c>
      <c r="K72" s="5">
        <v>0</v>
      </c>
      <c r="L72" s="8">
        <f t="shared" si="15"/>
        <v>2290000</v>
      </c>
      <c r="M72" s="8">
        <f>SUMIF(Entities!$A$5:$A$10,C72,Entities!$D$5:$D$10)</f>
        <v>750000</v>
      </c>
      <c r="N72" s="8">
        <f t="shared" si="16"/>
        <v>1540000</v>
      </c>
      <c r="O72" s="8">
        <f t="shared" si="17"/>
        <v>2290000</v>
      </c>
      <c r="P72" t="str">
        <f t="shared" si="18"/>
        <v>OK</v>
      </c>
    </row>
    <row r="73" spans="1:16" x14ac:dyDescent="0.25">
      <c r="A73" s="12" t="s">
        <v>177</v>
      </c>
      <c r="B73" s="9">
        <v>46273</v>
      </c>
      <c r="C73" s="12" t="s">
        <v>34</v>
      </c>
      <c r="D73" s="12" t="s">
        <v>35</v>
      </c>
      <c r="E73" s="12" t="s">
        <v>36</v>
      </c>
      <c r="F73" s="13">
        <f>SUMIF('Approved FX'!$A$5:$A$7,E73,'Approved FX'!$B$5:$B$7)</f>
        <v>1</v>
      </c>
      <c r="G73" s="8">
        <f t="shared" si="14"/>
        <v>2290000</v>
      </c>
      <c r="H73" s="8">
        <f>SUMIFS('Cash Flow Ledger'!$G$5:$G$135,'Cash Flow Ledger'!$A$5:$A$135,B73,'Cash Flow Ledger'!$B$5:$B$135,C73)</f>
        <v>0</v>
      </c>
      <c r="I73" s="8">
        <f>IF(AND(C73="E004",B73=SUMIF('Scenario Assumptions'!$A$5:$A$7,A73,'Scenario Assumptions'!$B$5:$B$7)),SUMIF('Scenario Assumptions'!$A$5:$A$7,A73,'Scenario Assumptions'!$C$5:$C$7),0)</f>
        <v>0</v>
      </c>
      <c r="J73" s="8">
        <f>IF(AND(C73="E004",B73=SUMIF('Scenario Assumptions'!$A$5:$A$7,A73,'Scenario Assumptions'!$D$5:$D$7)), -SUMIF('Scenario Assumptions'!$A$5:$A$7,A73,'Scenario Assumptions'!$E$5:$E$7),0)</f>
        <v>0</v>
      </c>
      <c r="K73" s="5">
        <v>0</v>
      </c>
      <c r="L73" s="8">
        <f t="shared" si="15"/>
        <v>2290000</v>
      </c>
      <c r="M73" s="8">
        <f>SUMIF(Entities!$A$5:$A$10,C73,Entities!$D$5:$D$10)</f>
        <v>750000</v>
      </c>
      <c r="N73" s="8">
        <f t="shared" si="16"/>
        <v>1540000</v>
      </c>
      <c r="O73" s="8">
        <f t="shared" si="17"/>
        <v>2290000</v>
      </c>
      <c r="P73" t="str">
        <f t="shared" si="18"/>
        <v>OK</v>
      </c>
    </row>
    <row r="74" spans="1:16" x14ac:dyDescent="0.25">
      <c r="A74" s="12" t="s">
        <v>177</v>
      </c>
      <c r="B74" s="9">
        <v>46274</v>
      </c>
      <c r="C74" s="12" t="s">
        <v>34</v>
      </c>
      <c r="D74" s="12" t="s">
        <v>35</v>
      </c>
      <c r="E74" s="12" t="s">
        <v>36</v>
      </c>
      <c r="F74" s="13">
        <f>SUMIF('Approved FX'!$A$5:$A$7,E74,'Approved FX'!$B$5:$B$7)</f>
        <v>1</v>
      </c>
      <c r="G74" s="8">
        <f t="shared" si="14"/>
        <v>2290000</v>
      </c>
      <c r="H74" s="8">
        <f>SUMIFS('Cash Flow Ledger'!$G$5:$G$135,'Cash Flow Ledger'!$A$5:$A$135,B74,'Cash Flow Ledger'!$B$5:$B$135,C74)</f>
        <v>0</v>
      </c>
      <c r="I74" s="8">
        <f>IF(AND(C74="E004",B74=SUMIF('Scenario Assumptions'!$A$5:$A$7,A74,'Scenario Assumptions'!$B$5:$B$7)),SUMIF('Scenario Assumptions'!$A$5:$A$7,A74,'Scenario Assumptions'!$C$5:$C$7),0)</f>
        <v>0</v>
      </c>
      <c r="J74" s="8">
        <f>IF(AND(C74="E004",B74=SUMIF('Scenario Assumptions'!$A$5:$A$7,A74,'Scenario Assumptions'!$D$5:$D$7)), -SUMIF('Scenario Assumptions'!$A$5:$A$7,A74,'Scenario Assumptions'!$E$5:$E$7),0)</f>
        <v>0</v>
      </c>
      <c r="K74" s="5">
        <v>0</v>
      </c>
      <c r="L74" s="8">
        <f t="shared" si="15"/>
        <v>2290000</v>
      </c>
      <c r="M74" s="8">
        <f>SUMIF(Entities!$A$5:$A$10,C74,Entities!$D$5:$D$10)</f>
        <v>750000</v>
      </c>
      <c r="N74" s="8">
        <f t="shared" si="16"/>
        <v>1540000</v>
      </c>
      <c r="O74" s="8">
        <f t="shared" si="17"/>
        <v>2290000</v>
      </c>
      <c r="P74" t="str">
        <f t="shared" si="18"/>
        <v>OK</v>
      </c>
    </row>
    <row r="75" spans="1:16" x14ac:dyDescent="0.25">
      <c r="A75" s="12" t="s">
        <v>177</v>
      </c>
      <c r="B75" s="9">
        <v>46265</v>
      </c>
      <c r="C75" s="12" t="s">
        <v>38</v>
      </c>
      <c r="D75" s="12" t="s">
        <v>39</v>
      </c>
      <c r="E75" s="12" t="s">
        <v>36</v>
      </c>
      <c r="F75" s="13">
        <f>SUMIF('Approved FX'!$A$5:$A$7,E75,'Approved FX'!$B$5:$B$7)</f>
        <v>1</v>
      </c>
      <c r="G75" s="8">
        <f>SUMIFS('Opening Balances'!$I$5:$I$14,'Opening Balances'!$B$5:$B$14,C75)</f>
        <v>1581000</v>
      </c>
      <c r="H75" s="8">
        <f>SUMIFS('Cash Flow Ledger'!$G$5:$G$135,'Cash Flow Ledger'!$A$5:$A$135,B75,'Cash Flow Ledger'!$B$5:$B$135,C75)</f>
        <v>40000</v>
      </c>
      <c r="I75" s="8">
        <f>IF(AND(C75="E004",B75=SUMIF('Scenario Assumptions'!$A$5:$A$7,A75,'Scenario Assumptions'!$B$5:$B$7)),SUMIF('Scenario Assumptions'!$A$5:$A$7,A75,'Scenario Assumptions'!$C$5:$C$7),0)</f>
        <v>0</v>
      </c>
      <c r="J75" s="8">
        <f>IF(AND(C75="E004",B75=SUMIF('Scenario Assumptions'!$A$5:$A$7,A75,'Scenario Assumptions'!$D$5:$D$7)), -SUMIF('Scenario Assumptions'!$A$5:$A$7,A75,'Scenario Assumptions'!$E$5:$E$7),0)</f>
        <v>0</v>
      </c>
      <c r="K75" s="5">
        <v>0</v>
      </c>
      <c r="L75" s="8">
        <f t="shared" si="15"/>
        <v>1621000</v>
      </c>
      <c r="M75" s="8">
        <f>SUMIF(Entities!$A$5:$A$10,C75,Entities!$D$5:$D$10)</f>
        <v>500000</v>
      </c>
      <c r="N75" s="8">
        <f t="shared" si="16"/>
        <v>1121000</v>
      </c>
      <c r="O75" s="8">
        <f t="shared" si="17"/>
        <v>1621000</v>
      </c>
      <c r="P75" t="str">
        <f t="shared" si="18"/>
        <v>OK</v>
      </c>
    </row>
    <row r="76" spans="1:16" x14ac:dyDescent="0.25">
      <c r="A76" s="12" t="s">
        <v>177</v>
      </c>
      <c r="B76" s="9">
        <v>46266</v>
      </c>
      <c r="C76" s="12" t="s">
        <v>38</v>
      </c>
      <c r="D76" s="12" t="s">
        <v>39</v>
      </c>
      <c r="E76" s="12" t="s">
        <v>36</v>
      </c>
      <c r="F76" s="13">
        <f>SUMIF('Approved FX'!$A$5:$A$7,E76,'Approved FX'!$B$5:$B$7)</f>
        <v>1</v>
      </c>
      <c r="G76" s="8">
        <f t="shared" ref="G76:G84" si="19">L75</f>
        <v>1621000</v>
      </c>
      <c r="H76" s="8">
        <f>SUMIFS('Cash Flow Ledger'!$G$5:$G$135,'Cash Flow Ledger'!$A$5:$A$135,B76,'Cash Flow Ledger'!$B$5:$B$135,C76)</f>
        <v>30000</v>
      </c>
      <c r="I76" s="8">
        <f>IF(AND(C76="E004",B76=SUMIF('Scenario Assumptions'!$A$5:$A$7,A76,'Scenario Assumptions'!$B$5:$B$7)),SUMIF('Scenario Assumptions'!$A$5:$A$7,A76,'Scenario Assumptions'!$C$5:$C$7),0)</f>
        <v>0</v>
      </c>
      <c r="J76" s="8">
        <f>IF(AND(C76="E004",B76=SUMIF('Scenario Assumptions'!$A$5:$A$7,A76,'Scenario Assumptions'!$D$5:$D$7)), -SUMIF('Scenario Assumptions'!$A$5:$A$7,A76,'Scenario Assumptions'!$E$5:$E$7),0)</f>
        <v>0</v>
      </c>
      <c r="K76" s="5">
        <v>0</v>
      </c>
      <c r="L76" s="8">
        <f t="shared" si="15"/>
        <v>1651000</v>
      </c>
      <c r="M76" s="8">
        <f>SUMIF(Entities!$A$5:$A$10,C76,Entities!$D$5:$D$10)</f>
        <v>500000</v>
      </c>
      <c r="N76" s="8">
        <f t="shared" si="16"/>
        <v>1151000</v>
      </c>
      <c r="O76" s="8">
        <f t="shared" si="17"/>
        <v>1651000</v>
      </c>
      <c r="P76" t="str">
        <f t="shared" si="18"/>
        <v>OK</v>
      </c>
    </row>
    <row r="77" spans="1:16" x14ac:dyDescent="0.25">
      <c r="A77" s="12" t="s">
        <v>177</v>
      </c>
      <c r="B77" s="9">
        <v>46267</v>
      </c>
      <c r="C77" s="12" t="s">
        <v>38</v>
      </c>
      <c r="D77" s="12" t="s">
        <v>39</v>
      </c>
      <c r="E77" s="12" t="s">
        <v>36</v>
      </c>
      <c r="F77" s="13">
        <f>SUMIF('Approved FX'!$A$5:$A$7,E77,'Approved FX'!$B$5:$B$7)</f>
        <v>1</v>
      </c>
      <c r="G77" s="8">
        <f t="shared" si="19"/>
        <v>1651000</v>
      </c>
      <c r="H77" s="8">
        <f>SUMIFS('Cash Flow Ledger'!$G$5:$G$135,'Cash Flow Ledger'!$A$5:$A$135,B77,'Cash Flow Ledger'!$B$5:$B$135,C77)</f>
        <v>-30000</v>
      </c>
      <c r="I77" s="8">
        <f>IF(AND(C77="E004",B77=SUMIF('Scenario Assumptions'!$A$5:$A$7,A77,'Scenario Assumptions'!$B$5:$B$7)),SUMIF('Scenario Assumptions'!$A$5:$A$7,A77,'Scenario Assumptions'!$C$5:$C$7),0)</f>
        <v>0</v>
      </c>
      <c r="J77" s="8">
        <f>IF(AND(C77="E004",B77=SUMIF('Scenario Assumptions'!$A$5:$A$7,A77,'Scenario Assumptions'!$D$5:$D$7)), -SUMIF('Scenario Assumptions'!$A$5:$A$7,A77,'Scenario Assumptions'!$E$5:$E$7),0)</f>
        <v>0</v>
      </c>
      <c r="K77" s="5">
        <v>0</v>
      </c>
      <c r="L77" s="8">
        <f t="shared" si="15"/>
        <v>1621000</v>
      </c>
      <c r="M77" s="8">
        <f>SUMIF(Entities!$A$5:$A$10,C77,Entities!$D$5:$D$10)</f>
        <v>500000</v>
      </c>
      <c r="N77" s="8">
        <f t="shared" si="16"/>
        <v>1121000</v>
      </c>
      <c r="O77" s="8">
        <f t="shared" si="17"/>
        <v>1621000</v>
      </c>
      <c r="P77" t="str">
        <f t="shared" si="18"/>
        <v>OK</v>
      </c>
    </row>
    <row r="78" spans="1:16" x14ac:dyDescent="0.25">
      <c r="A78" s="12" t="s">
        <v>177</v>
      </c>
      <c r="B78" s="9">
        <v>46268</v>
      </c>
      <c r="C78" s="12" t="s">
        <v>38</v>
      </c>
      <c r="D78" s="12" t="s">
        <v>39</v>
      </c>
      <c r="E78" s="12" t="s">
        <v>36</v>
      </c>
      <c r="F78" s="13">
        <f>SUMIF('Approved FX'!$A$5:$A$7,E78,'Approved FX'!$B$5:$B$7)</f>
        <v>1</v>
      </c>
      <c r="G78" s="8">
        <f t="shared" si="19"/>
        <v>1621000</v>
      </c>
      <c r="H78" s="8">
        <f>SUMIFS('Cash Flow Ledger'!$G$5:$G$135,'Cash Flow Ledger'!$A$5:$A$135,B78,'Cash Flow Ledger'!$B$5:$B$135,C78)</f>
        <v>15000</v>
      </c>
      <c r="I78" s="8">
        <f>IF(AND(C78="E004",B78=SUMIF('Scenario Assumptions'!$A$5:$A$7,A78,'Scenario Assumptions'!$B$5:$B$7)),SUMIF('Scenario Assumptions'!$A$5:$A$7,A78,'Scenario Assumptions'!$C$5:$C$7),0)</f>
        <v>0</v>
      </c>
      <c r="J78" s="8">
        <f>IF(AND(C78="E004",B78=SUMIF('Scenario Assumptions'!$A$5:$A$7,A78,'Scenario Assumptions'!$D$5:$D$7)), -SUMIF('Scenario Assumptions'!$A$5:$A$7,A78,'Scenario Assumptions'!$E$5:$E$7),0)</f>
        <v>0</v>
      </c>
      <c r="K78" s="5">
        <v>0</v>
      </c>
      <c r="L78" s="8">
        <f t="shared" si="15"/>
        <v>1636000</v>
      </c>
      <c r="M78" s="8">
        <f>SUMIF(Entities!$A$5:$A$10,C78,Entities!$D$5:$D$10)</f>
        <v>500000</v>
      </c>
      <c r="N78" s="8">
        <f t="shared" si="16"/>
        <v>1136000</v>
      </c>
      <c r="O78" s="8">
        <f t="shared" si="17"/>
        <v>1636000</v>
      </c>
      <c r="P78" t="str">
        <f t="shared" si="18"/>
        <v>OK</v>
      </c>
    </row>
    <row r="79" spans="1:16" x14ac:dyDescent="0.25">
      <c r="A79" s="12" t="s">
        <v>177</v>
      </c>
      <c r="B79" s="9">
        <v>46269</v>
      </c>
      <c r="C79" s="12" t="s">
        <v>38</v>
      </c>
      <c r="D79" s="12" t="s">
        <v>39</v>
      </c>
      <c r="E79" s="12" t="s">
        <v>36</v>
      </c>
      <c r="F79" s="13">
        <f>SUMIF('Approved FX'!$A$5:$A$7,E79,'Approved FX'!$B$5:$B$7)</f>
        <v>1</v>
      </c>
      <c r="G79" s="8">
        <f t="shared" si="19"/>
        <v>1636000</v>
      </c>
      <c r="H79" s="8">
        <f>SUMIFS('Cash Flow Ledger'!$G$5:$G$135,'Cash Flow Ledger'!$A$5:$A$135,B79,'Cash Flow Ledger'!$B$5:$B$135,C79)</f>
        <v>40000</v>
      </c>
      <c r="I79" s="8">
        <f>IF(AND(C79="E004",B79=SUMIF('Scenario Assumptions'!$A$5:$A$7,A79,'Scenario Assumptions'!$B$5:$B$7)),SUMIF('Scenario Assumptions'!$A$5:$A$7,A79,'Scenario Assumptions'!$C$5:$C$7),0)</f>
        <v>0</v>
      </c>
      <c r="J79" s="8">
        <f>IF(AND(C79="E004",B79=SUMIF('Scenario Assumptions'!$A$5:$A$7,A79,'Scenario Assumptions'!$D$5:$D$7)), -SUMIF('Scenario Assumptions'!$A$5:$A$7,A79,'Scenario Assumptions'!$E$5:$E$7),0)</f>
        <v>0</v>
      </c>
      <c r="K79" s="5">
        <v>0</v>
      </c>
      <c r="L79" s="8">
        <f t="shared" si="15"/>
        <v>1676000</v>
      </c>
      <c r="M79" s="8">
        <f>SUMIF(Entities!$A$5:$A$10,C79,Entities!$D$5:$D$10)</f>
        <v>500000</v>
      </c>
      <c r="N79" s="8">
        <f t="shared" si="16"/>
        <v>1176000</v>
      </c>
      <c r="O79" s="8">
        <f t="shared" si="17"/>
        <v>1676000</v>
      </c>
      <c r="P79" t="str">
        <f t="shared" si="18"/>
        <v>OK</v>
      </c>
    </row>
    <row r="80" spans="1:16" x14ac:dyDescent="0.25">
      <c r="A80" s="12" t="s">
        <v>177</v>
      </c>
      <c r="B80" s="9">
        <v>46270</v>
      </c>
      <c r="C80" s="12" t="s">
        <v>38</v>
      </c>
      <c r="D80" s="12" t="s">
        <v>39</v>
      </c>
      <c r="E80" s="12" t="s">
        <v>36</v>
      </c>
      <c r="F80" s="13">
        <f>SUMIF('Approved FX'!$A$5:$A$7,E80,'Approved FX'!$B$5:$B$7)</f>
        <v>1</v>
      </c>
      <c r="G80" s="8">
        <f t="shared" si="19"/>
        <v>1676000</v>
      </c>
      <c r="H80" s="8">
        <f>SUMIFS('Cash Flow Ledger'!$G$5:$G$135,'Cash Flow Ledger'!$A$5:$A$135,B80,'Cash Flow Ledger'!$B$5:$B$135,C80)</f>
        <v>0</v>
      </c>
      <c r="I80" s="8">
        <f>IF(AND(C80="E004",B80=SUMIF('Scenario Assumptions'!$A$5:$A$7,A80,'Scenario Assumptions'!$B$5:$B$7)),SUMIF('Scenario Assumptions'!$A$5:$A$7,A80,'Scenario Assumptions'!$C$5:$C$7),0)</f>
        <v>0</v>
      </c>
      <c r="J80" s="8">
        <f>IF(AND(C80="E004",B80=SUMIF('Scenario Assumptions'!$A$5:$A$7,A80,'Scenario Assumptions'!$D$5:$D$7)), -SUMIF('Scenario Assumptions'!$A$5:$A$7,A80,'Scenario Assumptions'!$E$5:$E$7),0)</f>
        <v>0</v>
      </c>
      <c r="K80" s="5">
        <v>0</v>
      </c>
      <c r="L80" s="8">
        <f t="shared" si="15"/>
        <v>1676000</v>
      </c>
      <c r="M80" s="8">
        <f>SUMIF(Entities!$A$5:$A$10,C80,Entities!$D$5:$D$10)</f>
        <v>500000</v>
      </c>
      <c r="N80" s="8">
        <f t="shared" si="16"/>
        <v>1176000</v>
      </c>
      <c r="O80" s="8">
        <f t="shared" si="17"/>
        <v>1676000</v>
      </c>
      <c r="P80" t="str">
        <f t="shared" si="18"/>
        <v>OK</v>
      </c>
    </row>
    <row r="81" spans="1:16" x14ac:dyDescent="0.25">
      <c r="A81" s="12" t="s">
        <v>177</v>
      </c>
      <c r="B81" s="9">
        <v>46271</v>
      </c>
      <c r="C81" s="12" t="s">
        <v>38</v>
      </c>
      <c r="D81" s="12" t="s">
        <v>39</v>
      </c>
      <c r="E81" s="12" t="s">
        <v>36</v>
      </c>
      <c r="F81" s="13">
        <f>SUMIF('Approved FX'!$A$5:$A$7,E81,'Approved FX'!$B$5:$B$7)</f>
        <v>1</v>
      </c>
      <c r="G81" s="8">
        <f t="shared" si="19"/>
        <v>1676000</v>
      </c>
      <c r="H81" s="8">
        <f>SUMIFS('Cash Flow Ledger'!$G$5:$G$135,'Cash Flow Ledger'!$A$5:$A$135,B81,'Cash Flow Ledger'!$B$5:$B$135,C81)</f>
        <v>45000</v>
      </c>
      <c r="I81" s="8">
        <f>IF(AND(C81="E004",B81=SUMIF('Scenario Assumptions'!$A$5:$A$7,A81,'Scenario Assumptions'!$B$5:$B$7)),SUMIF('Scenario Assumptions'!$A$5:$A$7,A81,'Scenario Assumptions'!$C$5:$C$7),0)</f>
        <v>0</v>
      </c>
      <c r="J81" s="8">
        <f>IF(AND(C81="E004",B81=SUMIF('Scenario Assumptions'!$A$5:$A$7,A81,'Scenario Assumptions'!$D$5:$D$7)), -SUMIF('Scenario Assumptions'!$A$5:$A$7,A81,'Scenario Assumptions'!$E$5:$E$7),0)</f>
        <v>0</v>
      </c>
      <c r="K81" s="5">
        <v>0</v>
      </c>
      <c r="L81" s="8">
        <f t="shared" si="15"/>
        <v>1721000</v>
      </c>
      <c r="M81" s="8">
        <f>SUMIF(Entities!$A$5:$A$10,C81,Entities!$D$5:$D$10)</f>
        <v>500000</v>
      </c>
      <c r="N81" s="8">
        <f t="shared" si="16"/>
        <v>1221000</v>
      </c>
      <c r="O81" s="8">
        <f t="shared" si="17"/>
        <v>1721000</v>
      </c>
      <c r="P81" t="str">
        <f t="shared" si="18"/>
        <v>OK</v>
      </c>
    </row>
    <row r="82" spans="1:16" x14ac:dyDescent="0.25">
      <c r="A82" s="12" t="s">
        <v>177</v>
      </c>
      <c r="B82" s="9">
        <v>46272</v>
      </c>
      <c r="C82" s="12" t="s">
        <v>38</v>
      </c>
      <c r="D82" s="12" t="s">
        <v>39</v>
      </c>
      <c r="E82" s="12" t="s">
        <v>36</v>
      </c>
      <c r="F82" s="13">
        <f>SUMIF('Approved FX'!$A$5:$A$7,E82,'Approved FX'!$B$5:$B$7)</f>
        <v>1</v>
      </c>
      <c r="G82" s="8">
        <f t="shared" si="19"/>
        <v>1721000</v>
      </c>
      <c r="H82" s="8">
        <f>SUMIFS('Cash Flow Ledger'!$G$5:$G$135,'Cash Flow Ledger'!$A$5:$A$135,B82,'Cash Flow Ledger'!$B$5:$B$135,C82)</f>
        <v>80000</v>
      </c>
      <c r="I82" s="8">
        <f>IF(AND(C82="E004",B82=SUMIF('Scenario Assumptions'!$A$5:$A$7,A82,'Scenario Assumptions'!$B$5:$B$7)),SUMIF('Scenario Assumptions'!$A$5:$A$7,A82,'Scenario Assumptions'!$C$5:$C$7),0)</f>
        <v>0</v>
      </c>
      <c r="J82" s="8">
        <f>IF(AND(C82="E004",B82=SUMIF('Scenario Assumptions'!$A$5:$A$7,A82,'Scenario Assumptions'!$D$5:$D$7)), -SUMIF('Scenario Assumptions'!$A$5:$A$7,A82,'Scenario Assumptions'!$E$5:$E$7),0)</f>
        <v>0</v>
      </c>
      <c r="K82" s="5">
        <v>0</v>
      </c>
      <c r="L82" s="8">
        <f t="shared" si="15"/>
        <v>1801000</v>
      </c>
      <c r="M82" s="8">
        <f>SUMIF(Entities!$A$5:$A$10,C82,Entities!$D$5:$D$10)</f>
        <v>500000</v>
      </c>
      <c r="N82" s="8">
        <f t="shared" si="16"/>
        <v>1301000</v>
      </c>
      <c r="O82" s="8">
        <f t="shared" si="17"/>
        <v>1801000</v>
      </c>
      <c r="P82" t="str">
        <f t="shared" si="18"/>
        <v>OK</v>
      </c>
    </row>
    <row r="83" spans="1:16" x14ac:dyDescent="0.25">
      <c r="A83" s="12" t="s">
        <v>177</v>
      </c>
      <c r="B83" s="9">
        <v>46273</v>
      </c>
      <c r="C83" s="12" t="s">
        <v>38</v>
      </c>
      <c r="D83" s="12" t="s">
        <v>39</v>
      </c>
      <c r="E83" s="12" t="s">
        <v>36</v>
      </c>
      <c r="F83" s="13">
        <f>SUMIF('Approved FX'!$A$5:$A$7,E83,'Approved FX'!$B$5:$B$7)</f>
        <v>1</v>
      </c>
      <c r="G83" s="8">
        <f t="shared" si="19"/>
        <v>1801000</v>
      </c>
      <c r="H83" s="8">
        <f>SUMIFS('Cash Flow Ledger'!$G$5:$G$135,'Cash Flow Ledger'!$A$5:$A$135,B83,'Cash Flow Ledger'!$B$5:$B$135,C83)</f>
        <v>30000</v>
      </c>
      <c r="I83" s="8">
        <f>IF(AND(C83="E004",B83=SUMIF('Scenario Assumptions'!$A$5:$A$7,A83,'Scenario Assumptions'!$B$5:$B$7)),SUMIF('Scenario Assumptions'!$A$5:$A$7,A83,'Scenario Assumptions'!$C$5:$C$7),0)</f>
        <v>0</v>
      </c>
      <c r="J83" s="8">
        <f>IF(AND(C83="E004",B83=SUMIF('Scenario Assumptions'!$A$5:$A$7,A83,'Scenario Assumptions'!$D$5:$D$7)), -SUMIF('Scenario Assumptions'!$A$5:$A$7,A83,'Scenario Assumptions'!$E$5:$E$7),0)</f>
        <v>0</v>
      </c>
      <c r="K83" s="5">
        <v>0</v>
      </c>
      <c r="L83" s="8">
        <f t="shared" si="15"/>
        <v>1831000</v>
      </c>
      <c r="M83" s="8">
        <f>SUMIF(Entities!$A$5:$A$10,C83,Entities!$D$5:$D$10)</f>
        <v>500000</v>
      </c>
      <c r="N83" s="8">
        <f t="shared" si="16"/>
        <v>1331000</v>
      </c>
      <c r="O83" s="8">
        <f t="shared" si="17"/>
        <v>1831000</v>
      </c>
      <c r="P83" t="str">
        <f t="shared" si="18"/>
        <v>OK</v>
      </c>
    </row>
    <row r="84" spans="1:16" x14ac:dyDescent="0.25">
      <c r="A84" s="12" t="s">
        <v>177</v>
      </c>
      <c r="B84" s="9">
        <v>46274</v>
      </c>
      <c r="C84" s="12" t="s">
        <v>38</v>
      </c>
      <c r="D84" s="12" t="s">
        <v>39</v>
      </c>
      <c r="E84" s="12" t="s">
        <v>36</v>
      </c>
      <c r="F84" s="13">
        <f>SUMIF('Approved FX'!$A$5:$A$7,E84,'Approved FX'!$B$5:$B$7)</f>
        <v>1</v>
      </c>
      <c r="G84" s="8">
        <f t="shared" si="19"/>
        <v>1831000</v>
      </c>
      <c r="H84" s="8">
        <f>SUMIFS('Cash Flow Ledger'!$G$5:$G$135,'Cash Flow Ledger'!$A$5:$A$135,B84,'Cash Flow Ledger'!$B$5:$B$135,C84)</f>
        <v>30000</v>
      </c>
      <c r="I84" s="8">
        <f>IF(AND(C84="E004",B84=SUMIF('Scenario Assumptions'!$A$5:$A$7,A84,'Scenario Assumptions'!$B$5:$B$7)),SUMIF('Scenario Assumptions'!$A$5:$A$7,A84,'Scenario Assumptions'!$C$5:$C$7),0)</f>
        <v>0</v>
      </c>
      <c r="J84" s="8">
        <f>IF(AND(C84="E004",B84=SUMIF('Scenario Assumptions'!$A$5:$A$7,A84,'Scenario Assumptions'!$D$5:$D$7)), -SUMIF('Scenario Assumptions'!$A$5:$A$7,A84,'Scenario Assumptions'!$E$5:$E$7),0)</f>
        <v>0</v>
      </c>
      <c r="K84" s="5">
        <v>0</v>
      </c>
      <c r="L84" s="8">
        <f t="shared" si="15"/>
        <v>1861000</v>
      </c>
      <c r="M84" s="8">
        <f>SUMIF(Entities!$A$5:$A$10,C84,Entities!$D$5:$D$10)</f>
        <v>500000</v>
      </c>
      <c r="N84" s="8">
        <f t="shared" si="16"/>
        <v>1361000</v>
      </c>
      <c r="O84" s="8">
        <f t="shared" si="17"/>
        <v>1861000</v>
      </c>
      <c r="P84" t="str">
        <f t="shared" si="18"/>
        <v>OK</v>
      </c>
    </row>
    <row r="85" spans="1:16" x14ac:dyDescent="0.25">
      <c r="A85" s="12" t="s">
        <v>177</v>
      </c>
      <c r="B85" s="9">
        <v>46265</v>
      </c>
      <c r="C85" s="12" t="s">
        <v>40</v>
      </c>
      <c r="D85" s="12" t="s">
        <v>41</v>
      </c>
      <c r="E85" s="12" t="s">
        <v>36</v>
      </c>
      <c r="F85" s="13">
        <f>SUMIF('Approved FX'!$A$5:$A$7,E85,'Approved FX'!$B$5:$B$7)</f>
        <v>1</v>
      </c>
      <c r="G85" s="8">
        <f>SUMIFS('Opening Balances'!$I$5:$I$14,'Opening Balances'!$B$5:$B$14,C85)</f>
        <v>555750</v>
      </c>
      <c r="H85" s="8">
        <f>SUMIFS('Cash Flow Ledger'!$G$5:$G$135,'Cash Flow Ledger'!$A$5:$A$135,B85,'Cash Flow Ledger'!$B$5:$B$135,C85)</f>
        <v>265000</v>
      </c>
      <c r="I85" s="8">
        <f>IF(AND(C85="E004",B85=SUMIF('Scenario Assumptions'!$A$5:$A$7,A85,'Scenario Assumptions'!$B$5:$B$7)),SUMIF('Scenario Assumptions'!$A$5:$A$7,A85,'Scenario Assumptions'!$C$5:$C$7),0)</f>
        <v>0</v>
      </c>
      <c r="J85" s="8">
        <f>IF(AND(C85="E004",B85=SUMIF('Scenario Assumptions'!$A$5:$A$7,A85,'Scenario Assumptions'!$D$5:$D$7)), -SUMIF('Scenario Assumptions'!$A$5:$A$7,A85,'Scenario Assumptions'!$E$5:$E$7),0)</f>
        <v>0</v>
      </c>
      <c r="K85" s="5">
        <v>0</v>
      </c>
      <c r="L85" s="8">
        <f t="shared" si="15"/>
        <v>820750</v>
      </c>
      <c r="M85" s="8">
        <f>SUMIF(Entities!$A$5:$A$10,C85,Entities!$D$5:$D$10)</f>
        <v>150000</v>
      </c>
      <c r="N85" s="8">
        <f t="shared" si="16"/>
        <v>670750</v>
      </c>
      <c r="O85" s="8">
        <f t="shared" si="17"/>
        <v>820750</v>
      </c>
      <c r="P85" t="str">
        <f t="shared" si="18"/>
        <v>OK</v>
      </c>
    </row>
    <row r="86" spans="1:16" x14ac:dyDescent="0.25">
      <c r="A86" s="12" t="s">
        <v>177</v>
      </c>
      <c r="B86" s="9">
        <v>46266</v>
      </c>
      <c r="C86" s="12" t="s">
        <v>40</v>
      </c>
      <c r="D86" s="12" t="s">
        <v>41</v>
      </c>
      <c r="E86" s="12" t="s">
        <v>36</v>
      </c>
      <c r="F86" s="13">
        <f>SUMIF('Approved FX'!$A$5:$A$7,E86,'Approved FX'!$B$5:$B$7)</f>
        <v>1</v>
      </c>
      <c r="G86" s="8">
        <f t="shared" ref="G86:G94" si="20">L85</f>
        <v>820750</v>
      </c>
      <c r="H86" s="8">
        <f>SUMIFS('Cash Flow Ledger'!$G$5:$G$135,'Cash Flow Ledger'!$A$5:$A$135,B86,'Cash Flow Ledger'!$B$5:$B$135,C86)</f>
        <v>-205000</v>
      </c>
      <c r="I86" s="8">
        <f>IF(AND(C86="E004",B86=SUMIF('Scenario Assumptions'!$A$5:$A$7,A86,'Scenario Assumptions'!$B$5:$B$7)),SUMIF('Scenario Assumptions'!$A$5:$A$7,A86,'Scenario Assumptions'!$C$5:$C$7),0)</f>
        <v>0</v>
      </c>
      <c r="J86" s="8">
        <f>IF(AND(C86="E004",B86=SUMIF('Scenario Assumptions'!$A$5:$A$7,A86,'Scenario Assumptions'!$D$5:$D$7)), -SUMIF('Scenario Assumptions'!$A$5:$A$7,A86,'Scenario Assumptions'!$E$5:$E$7),0)</f>
        <v>0</v>
      </c>
      <c r="K86" s="5">
        <v>0</v>
      </c>
      <c r="L86" s="8">
        <f t="shared" si="15"/>
        <v>615750</v>
      </c>
      <c r="M86" s="8">
        <f>SUMIF(Entities!$A$5:$A$10,C86,Entities!$D$5:$D$10)</f>
        <v>150000</v>
      </c>
      <c r="N86" s="8">
        <f t="shared" si="16"/>
        <v>465750</v>
      </c>
      <c r="O86" s="8">
        <f t="shared" si="17"/>
        <v>615750</v>
      </c>
      <c r="P86" t="str">
        <f t="shared" si="18"/>
        <v>OK</v>
      </c>
    </row>
    <row r="87" spans="1:16" x14ac:dyDescent="0.25">
      <c r="A87" s="12" t="s">
        <v>177</v>
      </c>
      <c r="B87" s="9">
        <v>46267</v>
      </c>
      <c r="C87" s="12" t="s">
        <v>40</v>
      </c>
      <c r="D87" s="12" t="s">
        <v>41</v>
      </c>
      <c r="E87" s="12" t="s">
        <v>36</v>
      </c>
      <c r="F87" s="13">
        <f>SUMIF('Approved FX'!$A$5:$A$7,E87,'Approved FX'!$B$5:$B$7)</f>
        <v>1</v>
      </c>
      <c r="G87" s="8">
        <f t="shared" si="20"/>
        <v>615750</v>
      </c>
      <c r="H87" s="8">
        <f>SUMIFS('Cash Flow Ledger'!$G$5:$G$135,'Cash Flow Ledger'!$A$5:$A$135,B87,'Cash Flow Ledger'!$B$5:$B$135,C87)</f>
        <v>15000</v>
      </c>
      <c r="I87" s="8">
        <f>IF(AND(C87="E004",B87=SUMIF('Scenario Assumptions'!$A$5:$A$7,A87,'Scenario Assumptions'!$B$5:$B$7)),SUMIF('Scenario Assumptions'!$A$5:$A$7,A87,'Scenario Assumptions'!$C$5:$C$7),0)</f>
        <v>0</v>
      </c>
      <c r="J87" s="8">
        <f>IF(AND(C87="E004",B87=SUMIF('Scenario Assumptions'!$A$5:$A$7,A87,'Scenario Assumptions'!$D$5:$D$7)), -SUMIF('Scenario Assumptions'!$A$5:$A$7,A87,'Scenario Assumptions'!$E$5:$E$7),0)</f>
        <v>0</v>
      </c>
      <c r="K87" s="5">
        <v>0</v>
      </c>
      <c r="L87" s="8">
        <f t="shared" si="15"/>
        <v>630750</v>
      </c>
      <c r="M87" s="8">
        <f>SUMIF(Entities!$A$5:$A$10,C87,Entities!$D$5:$D$10)</f>
        <v>150000</v>
      </c>
      <c r="N87" s="8">
        <f t="shared" si="16"/>
        <v>480750</v>
      </c>
      <c r="O87" s="8">
        <f t="shared" si="17"/>
        <v>630750</v>
      </c>
      <c r="P87" t="str">
        <f t="shared" si="18"/>
        <v>OK</v>
      </c>
    </row>
    <row r="88" spans="1:16" x14ac:dyDescent="0.25">
      <c r="A88" s="12" t="s">
        <v>177</v>
      </c>
      <c r="B88" s="9">
        <v>46268</v>
      </c>
      <c r="C88" s="12" t="s">
        <v>40</v>
      </c>
      <c r="D88" s="12" t="s">
        <v>41</v>
      </c>
      <c r="E88" s="12" t="s">
        <v>36</v>
      </c>
      <c r="F88" s="13">
        <f>SUMIF('Approved FX'!$A$5:$A$7,E88,'Approved FX'!$B$5:$B$7)</f>
        <v>1</v>
      </c>
      <c r="G88" s="8">
        <f t="shared" si="20"/>
        <v>630750</v>
      </c>
      <c r="H88" s="8">
        <f>SUMIFS('Cash Flow Ledger'!$G$5:$G$135,'Cash Flow Ledger'!$A$5:$A$135,B88,'Cash Flow Ledger'!$B$5:$B$135,C88)</f>
        <v>15000</v>
      </c>
      <c r="I88" s="8">
        <f>IF(AND(C88="E004",B88=SUMIF('Scenario Assumptions'!$A$5:$A$7,A88,'Scenario Assumptions'!$B$5:$B$7)),SUMIF('Scenario Assumptions'!$A$5:$A$7,A88,'Scenario Assumptions'!$C$5:$C$7),0)</f>
        <v>0</v>
      </c>
      <c r="J88" s="8">
        <f>IF(AND(C88="E004",B88=SUMIF('Scenario Assumptions'!$A$5:$A$7,A88,'Scenario Assumptions'!$D$5:$D$7)), -SUMIF('Scenario Assumptions'!$A$5:$A$7,A88,'Scenario Assumptions'!$E$5:$E$7),0)</f>
        <v>0</v>
      </c>
      <c r="K88" s="5">
        <v>0</v>
      </c>
      <c r="L88" s="8">
        <f t="shared" si="15"/>
        <v>645750</v>
      </c>
      <c r="M88" s="8">
        <f>SUMIF(Entities!$A$5:$A$10,C88,Entities!$D$5:$D$10)</f>
        <v>150000</v>
      </c>
      <c r="N88" s="8">
        <f t="shared" si="16"/>
        <v>495750</v>
      </c>
      <c r="O88" s="8">
        <f t="shared" si="17"/>
        <v>645750</v>
      </c>
      <c r="P88" t="str">
        <f t="shared" si="18"/>
        <v>OK</v>
      </c>
    </row>
    <row r="89" spans="1:16" x14ac:dyDescent="0.25">
      <c r="A89" s="12" t="s">
        <v>177</v>
      </c>
      <c r="B89" s="9">
        <v>46269</v>
      </c>
      <c r="C89" s="12" t="s">
        <v>40</v>
      </c>
      <c r="D89" s="12" t="s">
        <v>41</v>
      </c>
      <c r="E89" s="12" t="s">
        <v>36</v>
      </c>
      <c r="F89" s="13">
        <f>SUMIF('Approved FX'!$A$5:$A$7,E89,'Approved FX'!$B$5:$B$7)</f>
        <v>1</v>
      </c>
      <c r="G89" s="8">
        <f t="shared" si="20"/>
        <v>645750</v>
      </c>
      <c r="H89" s="8">
        <f>SUMIFS('Cash Flow Ledger'!$G$5:$G$135,'Cash Flow Ledger'!$A$5:$A$135,B89,'Cash Flow Ledger'!$B$5:$B$135,C89)</f>
        <v>15000</v>
      </c>
      <c r="I89" s="8">
        <f>IF(AND(C89="E004",B89=SUMIF('Scenario Assumptions'!$A$5:$A$7,A89,'Scenario Assumptions'!$B$5:$B$7)),SUMIF('Scenario Assumptions'!$A$5:$A$7,A89,'Scenario Assumptions'!$C$5:$C$7),0)</f>
        <v>0</v>
      </c>
      <c r="J89" s="8">
        <f>IF(AND(C89="E004",B89=SUMIF('Scenario Assumptions'!$A$5:$A$7,A89,'Scenario Assumptions'!$D$5:$D$7)), -SUMIF('Scenario Assumptions'!$A$5:$A$7,A89,'Scenario Assumptions'!$E$5:$E$7),0)</f>
        <v>0</v>
      </c>
      <c r="K89" s="5">
        <v>0</v>
      </c>
      <c r="L89" s="8">
        <f t="shared" si="15"/>
        <v>660750</v>
      </c>
      <c r="M89" s="8">
        <f>SUMIF(Entities!$A$5:$A$10,C89,Entities!$D$5:$D$10)</f>
        <v>150000</v>
      </c>
      <c r="N89" s="8">
        <f t="shared" si="16"/>
        <v>510750</v>
      </c>
      <c r="O89" s="8">
        <f t="shared" si="17"/>
        <v>660750</v>
      </c>
      <c r="P89" t="str">
        <f t="shared" si="18"/>
        <v>OK</v>
      </c>
    </row>
    <row r="90" spans="1:16" x14ac:dyDescent="0.25">
      <c r="A90" s="12" t="s">
        <v>177</v>
      </c>
      <c r="B90" s="9">
        <v>46270</v>
      </c>
      <c r="C90" s="12" t="s">
        <v>40</v>
      </c>
      <c r="D90" s="12" t="s">
        <v>41</v>
      </c>
      <c r="E90" s="12" t="s">
        <v>36</v>
      </c>
      <c r="F90" s="13">
        <f>SUMIF('Approved FX'!$A$5:$A$7,E90,'Approved FX'!$B$5:$B$7)</f>
        <v>1</v>
      </c>
      <c r="G90" s="8">
        <f t="shared" si="20"/>
        <v>660750</v>
      </c>
      <c r="H90" s="8">
        <f>SUMIFS('Cash Flow Ledger'!$G$5:$G$135,'Cash Flow Ledger'!$A$5:$A$135,B90,'Cash Flow Ledger'!$B$5:$B$135,C90)</f>
        <v>-4000</v>
      </c>
      <c r="I90" s="8">
        <f>IF(AND(C90="E004",B90=SUMIF('Scenario Assumptions'!$A$5:$A$7,A90,'Scenario Assumptions'!$B$5:$B$7)),SUMIF('Scenario Assumptions'!$A$5:$A$7,A90,'Scenario Assumptions'!$C$5:$C$7),0)</f>
        <v>0</v>
      </c>
      <c r="J90" s="8">
        <f>IF(AND(C90="E004",B90=SUMIF('Scenario Assumptions'!$A$5:$A$7,A90,'Scenario Assumptions'!$D$5:$D$7)), -SUMIF('Scenario Assumptions'!$A$5:$A$7,A90,'Scenario Assumptions'!$E$5:$E$7),0)</f>
        <v>0</v>
      </c>
      <c r="K90" s="5">
        <v>0</v>
      </c>
      <c r="L90" s="8">
        <f t="shared" si="15"/>
        <v>656750</v>
      </c>
      <c r="M90" s="8">
        <f>SUMIF(Entities!$A$5:$A$10,C90,Entities!$D$5:$D$10)</f>
        <v>150000</v>
      </c>
      <c r="N90" s="8">
        <f t="shared" si="16"/>
        <v>506750</v>
      </c>
      <c r="O90" s="8">
        <f t="shared" si="17"/>
        <v>656750</v>
      </c>
      <c r="P90" t="str">
        <f t="shared" si="18"/>
        <v>OK</v>
      </c>
    </row>
    <row r="91" spans="1:16" x14ac:dyDescent="0.25">
      <c r="A91" s="12" t="s">
        <v>177</v>
      </c>
      <c r="B91" s="9">
        <v>46271</v>
      </c>
      <c r="C91" s="12" t="s">
        <v>40</v>
      </c>
      <c r="D91" s="12" t="s">
        <v>41</v>
      </c>
      <c r="E91" s="12" t="s">
        <v>36</v>
      </c>
      <c r="F91" s="13">
        <f>SUMIF('Approved FX'!$A$5:$A$7,E91,'Approved FX'!$B$5:$B$7)</f>
        <v>1</v>
      </c>
      <c r="G91" s="8">
        <f t="shared" si="20"/>
        <v>656750</v>
      </c>
      <c r="H91" s="8">
        <f>SUMIFS('Cash Flow Ledger'!$G$5:$G$135,'Cash Flow Ledger'!$A$5:$A$135,B91,'Cash Flow Ledger'!$B$5:$B$135,C91)</f>
        <v>-4000</v>
      </c>
      <c r="I91" s="8">
        <f>IF(AND(C91="E004",B91=SUMIF('Scenario Assumptions'!$A$5:$A$7,A91,'Scenario Assumptions'!$B$5:$B$7)),SUMIF('Scenario Assumptions'!$A$5:$A$7,A91,'Scenario Assumptions'!$C$5:$C$7),0)</f>
        <v>0</v>
      </c>
      <c r="J91" s="8">
        <f>IF(AND(C91="E004",B91=SUMIF('Scenario Assumptions'!$A$5:$A$7,A91,'Scenario Assumptions'!$D$5:$D$7)), -SUMIF('Scenario Assumptions'!$A$5:$A$7,A91,'Scenario Assumptions'!$E$5:$E$7),0)</f>
        <v>0</v>
      </c>
      <c r="K91" s="5">
        <v>0</v>
      </c>
      <c r="L91" s="8">
        <f t="shared" si="15"/>
        <v>652750</v>
      </c>
      <c r="M91" s="8">
        <f>SUMIF(Entities!$A$5:$A$10,C91,Entities!$D$5:$D$10)</f>
        <v>150000</v>
      </c>
      <c r="N91" s="8">
        <f t="shared" si="16"/>
        <v>502750</v>
      </c>
      <c r="O91" s="8">
        <f t="shared" si="17"/>
        <v>652750</v>
      </c>
      <c r="P91" t="str">
        <f t="shared" si="18"/>
        <v>OK</v>
      </c>
    </row>
    <row r="92" spans="1:16" x14ac:dyDescent="0.25">
      <c r="A92" s="12" t="s">
        <v>177</v>
      </c>
      <c r="B92" s="9">
        <v>46272</v>
      </c>
      <c r="C92" s="12" t="s">
        <v>40</v>
      </c>
      <c r="D92" s="12" t="s">
        <v>41</v>
      </c>
      <c r="E92" s="12" t="s">
        <v>36</v>
      </c>
      <c r="F92" s="13">
        <f>SUMIF('Approved FX'!$A$5:$A$7,E92,'Approved FX'!$B$5:$B$7)</f>
        <v>1</v>
      </c>
      <c r="G92" s="8">
        <f t="shared" si="20"/>
        <v>652750</v>
      </c>
      <c r="H92" s="8">
        <f>SUMIFS('Cash Flow Ledger'!$G$5:$G$135,'Cash Flow Ledger'!$A$5:$A$135,B92,'Cash Flow Ledger'!$B$5:$B$135,C92)</f>
        <v>-4000</v>
      </c>
      <c r="I92" s="8">
        <f>IF(AND(C92="E004",B92=SUMIF('Scenario Assumptions'!$A$5:$A$7,A92,'Scenario Assumptions'!$B$5:$B$7)),SUMIF('Scenario Assumptions'!$A$5:$A$7,A92,'Scenario Assumptions'!$C$5:$C$7),0)</f>
        <v>0</v>
      </c>
      <c r="J92" s="8">
        <f>IF(AND(C92="E004",B92=SUMIF('Scenario Assumptions'!$A$5:$A$7,A92,'Scenario Assumptions'!$D$5:$D$7)), -SUMIF('Scenario Assumptions'!$A$5:$A$7,A92,'Scenario Assumptions'!$E$5:$E$7),0)</f>
        <v>0</v>
      </c>
      <c r="K92" s="5">
        <v>0</v>
      </c>
      <c r="L92" s="8">
        <f t="shared" si="15"/>
        <v>648750</v>
      </c>
      <c r="M92" s="8">
        <f>SUMIF(Entities!$A$5:$A$10,C92,Entities!$D$5:$D$10)</f>
        <v>150000</v>
      </c>
      <c r="N92" s="8">
        <f t="shared" si="16"/>
        <v>498750</v>
      </c>
      <c r="O92" s="8">
        <f t="shared" si="17"/>
        <v>648750</v>
      </c>
      <c r="P92" t="str">
        <f t="shared" si="18"/>
        <v>OK</v>
      </c>
    </row>
    <row r="93" spans="1:16" x14ac:dyDescent="0.25">
      <c r="A93" s="12" t="s">
        <v>177</v>
      </c>
      <c r="B93" s="9">
        <v>46273</v>
      </c>
      <c r="C93" s="12" t="s">
        <v>40</v>
      </c>
      <c r="D93" s="12" t="s">
        <v>41</v>
      </c>
      <c r="E93" s="12" t="s">
        <v>36</v>
      </c>
      <c r="F93" s="13">
        <f>SUMIF('Approved FX'!$A$5:$A$7,E93,'Approved FX'!$B$5:$B$7)</f>
        <v>1</v>
      </c>
      <c r="G93" s="8">
        <f t="shared" si="20"/>
        <v>648750</v>
      </c>
      <c r="H93" s="8">
        <f>SUMIFS('Cash Flow Ledger'!$G$5:$G$135,'Cash Flow Ledger'!$A$5:$A$135,B93,'Cash Flow Ledger'!$B$5:$B$135,C93)</f>
        <v>-224000</v>
      </c>
      <c r="I93" s="8">
        <f>IF(AND(C93="E004",B93=SUMIF('Scenario Assumptions'!$A$5:$A$7,A93,'Scenario Assumptions'!$B$5:$B$7)),SUMIF('Scenario Assumptions'!$A$5:$A$7,A93,'Scenario Assumptions'!$C$5:$C$7),0)</f>
        <v>0</v>
      </c>
      <c r="J93" s="8">
        <f>IF(AND(C93="E004",B93=SUMIF('Scenario Assumptions'!$A$5:$A$7,A93,'Scenario Assumptions'!$D$5:$D$7)), -SUMIF('Scenario Assumptions'!$A$5:$A$7,A93,'Scenario Assumptions'!$E$5:$E$7),0)</f>
        <v>0</v>
      </c>
      <c r="K93" s="5">
        <v>0</v>
      </c>
      <c r="L93" s="8">
        <f t="shared" si="15"/>
        <v>424750</v>
      </c>
      <c r="M93" s="8">
        <f>SUMIF(Entities!$A$5:$A$10,C93,Entities!$D$5:$D$10)</f>
        <v>150000</v>
      </c>
      <c r="N93" s="8">
        <f t="shared" si="16"/>
        <v>274750</v>
      </c>
      <c r="O93" s="8">
        <f t="shared" si="17"/>
        <v>424750</v>
      </c>
      <c r="P93" t="str">
        <f t="shared" si="18"/>
        <v>OK</v>
      </c>
    </row>
    <row r="94" spans="1:16" x14ac:dyDescent="0.25">
      <c r="A94" s="12" t="s">
        <v>177</v>
      </c>
      <c r="B94" s="9">
        <v>46274</v>
      </c>
      <c r="C94" s="12" t="s">
        <v>40</v>
      </c>
      <c r="D94" s="12" t="s">
        <v>41</v>
      </c>
      <c r="E94" s="12" t="s">
        <v>36</v>
      </c>
      <c r="F94" s="13">
        <f>SUMIF('Approved FX'!$A$5:$A$7,E94,'Approved FX'!$B$5:$B$7)</f>
        <v>1</v>
      </c>
      <c r="G94" s="8">
        <f t="shared" si="20"/>
        <v>424750</v>
      </c>
      <c r="H94" s="8">
        <f>SUMIFS('Cash Flow Ledger'!$G$5:$G$135,'Cash Flow Ledger'!$A$5:$A$135,B94,'Cash Flow Ledger'!$B$5:$B$135,C94)</f>
        <v>-4000</v>
      </c>
      <c r="I94" s="8">
        <f>IF(AND(C94="E004",B94=SUMIF('Scenario Assumptions'!$A$5:$A$7,A94,'Scenario Assumptions'!$B$5:$B$7)),SUMIF('Scenario Assumptions'!$A$5:$A$7,A94,'Scenario Assumptions'!$C$5:$C$7),0)</f>
        <v>0</v>
      </c>
      <c r="J94" s="8">
        <f>IF(AND(C94="E004",B94=SUMIF('Scenario Assumptions'!$A$5:$A$7,A94,'Scenario Assumptions'!$D$5:$D$7)), -SUMIF('Scenario Assumptions'!$A$5:$A$7,A94,'Scenario Assumptions'!$E$5:$E$7),0)</f>
        <v>0</v>
      </c>
      <c r="K94" s="5">
        <v>0</v>
      </c>
      <c r="L94" s="8">
        <f t="shared" si="15"/>
        <v>420750</v>
      </c>
      <c r="M94" s="8">
        <f>SUMIF(Entities!$A$5:$A$10,C94,Entities!$D$5:$D$10)</f>
        <v>150000</v>
      </c>
      <c r="N94" s="8">
        <f t="shared" si="16"/>
        <v>270750</v>
      </c>
      <c r="O94" s="8">
        <f t="shared" si="17"/>
        <v>420750</v>
      </c>
      <c r="P94" t="str">
        <f t="shared" si="18"/>
        <v>OK</v>
      </c>
    </row>
    <row r="95" spans="1:16" x14ac:dyDescent="0.25">
      <c r="A95" s="12" t="s">
        <v>177</v>
      </c>
      <c r="B95" s="9">
        <v>46265</v>
      </c>
      <c r="C95" s="12" t="s">
        <v>43</v>
      </c>
      <c r="D95" s="12" t="s">
        <v>44</v>
      </c>
      <c r="E95" s="12" t="s">
        <v>36</v>
      </c>
      <c r="F95" s="13">
        <f>SUMIF('Approved FX'!$A$5:$A$7,E95,'Approved FX'!$B$5:$B$7)</f>
        <v>1</v>
      </c>
      <c r="G95" s="8">
        <f>SUMIFS('Opening Balances'!$I$5:$I$14,'Opening Balances'!$B$5:$B$14,C95)</f>
        <v>230400</v>
      </c>
      <c r="H95" s="8">
        <f>SUMIFS('Cash Flow Ledger'!$G$5:$G$135,'Cash Flow Ledger'!$A$5:$A$135,B95,'Cash Flow Ledger'!$B$5:$B$135,C95)</f>
        <v>-85000</v>
      </c>
      <c r="I95" s="8">
        <f>IF(AND(C95="E004",B95=SUMIF('Scenario Assumptions'!$A$5:$A$7,A95,'Scenario Assumptions'!$B$5:$B$7)),SUMIF('Scenario Assumptions'!$A$5:$A$7,A95,'Scenario Assumptions'!$C$5:$C$7),0)</f>
        <v>0</v>
      </c>
      <c r="J95" s="8">
        <f>IF(AND(C95="E004",B95=SUMIF('Scenario Assumptions'!$A$5:$A$7,A95,'Scenario Assumptions'!$D$5:$D$7)), -SUMIF('Scenario Assumptions'!$A$5:$A$7,A95,'Scenario Assumptions'!$E$5:$E$7),0)</f>
        <v>0</v>
      </c>
      <c r="K95" s="5">
        <v>0</v>
      </c>
      <c r="L95" s="8">
        <f t="shared" si="15"/>
        <v>145400</v>
      </c>
      <c r="M95" s="8">
        <f>SUMIF(Entities!$A$5:$A$10,C95,Entities!$D$5:$D$10)</f>
        <v>200000</v>
      </c>
      <c r="N95" s="8">
        <f t="shared" si="16"/>
        <v>-54600</v>
      </c>
      <c r="O95" s="8">
        <f t="shared" si="17"/>
        <v>145400</v>
      </c>
      <c r="P95" t="str">
        <f t="shared" si="18"/>
        <v>BELOW MINIMUM</v>
      </c>
    </row>
    <row r="96" spans="1:16" x14ac:dyDescent="0.25">
      <c r="A96" s="12" t="s">
        <v>177</v>
      </c>
      <c r="B96" s="9">
        <v>46266</v>
      </c>
      <c r="C96" s="12" t="s">
        <v>43</v>
      </c>
      <c r="D96" s="12" t="s">
        <v>44</v>
      </c>
      <c r="E96" s="12" t="s">
        <v>36</v>
      </c>
      <c r="F96" s="13">
        <f>SUMIF('Approved FX'!$A$5:$A$7,E96,'Approved FX'!$B$5:$B$7)</f>
        <v>1</v>
      </c>
      <c r="G96" s="8">
        <f t="shared" ref="G96:G104" si="21">L95</f>
        <v>145400</v>
      </c>
      <c r="H96" s="8">
        <f>SUMIFS('Cash Flow Ledger'!$G$5:$G$135,'Cash Flow Ledger'!$A$5:$A$135,B96,'Cash Flow Ledger'!$B$5:$B$135,C96)</f>
        <v>-65000</v>
      </c>
      <c r="I96" s="8">
        <f>IF(AND(C96="E004",B96=SUMIF('Scenario Assumptions'!$A$5:$A$7,A96,'Scenario Assumptions'!$B$5:$B$7)),SUMIF('Scenario Assumptions'!$A$5:$A$7,A96,'Scenario Assumptions'!$C$5:$C$7),0)</f>
        <v>0</v>
      </c>
      <c r="J96" s="8">
        <f>IF(AND(C96="E004",B96=SUMIF('Scenario Assumptions'!$A$5:$A$7,A96,'Scenario Assumptions'!$D$5:$D$7)), -SUMIF('Scenario Assumptions'!$A$5:$A$7,A96,'Scenario Assumptions'!$E$5:$E$7),0)</f>
        <v>0</v>
      </c>
      <c r="K96" s="5">
        <v>0</v>
      </c>
      <c r="L96" s="8">
        <f t="shared" si="15"/>
        <v>80400</v>
      </c>
      <c r="M96" s="8">
        <f>SUMIF(Entities!$A$5:$A$10,C96,Entities!$D$5:$D$10)</f>
        <v>200000</v>
      </c>
      <c r="N96" s="8">
        <f t="shared" si="16"/>
        <v>-119600</v>
      </c>
      <c r="O96" s="8">
        <f t="shared" si="17"/>
        <v>80400</v>
      </c>
      <c r="P96" t="str">
        <f t="shared" si="18"/>
        <v>BELOW MINIMUM</v>
      </c>
    </row>
    <row r="97" spans="1:16" x14ac:dyDescent="0.25">
      <c r="A97" s="12" t="s">
        <v>177</v>
      </c>
      <c r="B97" s="9">
        <v>46267</v>
      </c>
      <c r="C97" s="12" t="s">
        <v>43</v>
      </c>
      <c r="D97" s="12" t="s">
        <v>44</v>
      </c>
      <c r="E97" s="12" t="s">
        <v>36</v>
      </c>
      <c r="F97" s="13">
        <f>SUMIF('Approved FX'!$A$5:$A$7,E97,'Approved FX'!$B$5:$B$7)</f>
        <v>1</v>
      </c>
      <c r="G97" s="8">
        <f t="shared" si="21"/>
        <v>80400</v>
      </c>
      <c r="H97" s="8">
        <f>SUMIFS('Cash Flow Ledger'!$G$5:$G$135,'Cash Flow Ledger'!$A$5:$A$135,B97,'Cash Flow Ledger'!$B$5:$B$135,C97)</f>
        <v>0</v>
      </c>
      <c r="I97" s="8">
        <f>IF(AND(C97="E004",B97=SUMIF('Scenario Assumptions'!$A$5:$A$7,A97,'Scenario Assumptions'!$B$5:$B$7)),SUMIF('Scenario Assumptions'!$A$5:$A$7,A97,'Scenario Assumptions'!$C$5:$C$7),0)</f>
        <v>0</v>
      </c>
      <c r="J97" s="8">
        <f>IF(AND(C97="E004",B97=SUMIF('Scenario Assumptions'!$A$5:$A$7,A97,'Scenario Assumptions'!$D$5:$D$7)), -SUMIF('Scenario Assumptions'!$A$5:$A$7,A97,'Scenario Assumptions'!$E$5:$E$7),0)</f>
        <v>0</v>
      </c>
      <c r="K97" s="5">
        <v>0</v>
      </c>
      <c r="L97" s="8">
        <f t="shared" si="15"/>
        <v>80400</v>
      </c>
      <c r="M97" s="8">
        <f>SUMIF(Entities!$A$5:$A$10,C97,Entities!$D$5:$D$10)</f>
        <v>200000</v>
      </c>
      <c r="N97" s="8">
        <f t="shared" si="16"/>
        <v>-119600</v>
      </c>
      <c r="O97" s="8">
        <f t="shared" si="17"/>
        <v>80400</v>
      </c>
      <c r="P97" t="str">
        <f t="shared" si="18"/>
        <v>BELOW MINIMUM</v>
      </c>
    </row>
    <row r="98" spans="1:16" x14ac:dyDescent="0.25">
      <c r="A98" s="12" t="s">
        <v>177</v>
      </c>
      <c r="B98" s="9">
        <v>46268</v>
      </c>
      <c r="C98" s="12" t="s">
        <v>43</v>
      </c>
      <c r="D98" s="12" t="s">
        <v>44</v>
      </c>
      <c r="E98" s="12" t="s">
        <v>36</v>
      </c>
      <c r="F98" s="13">
        <f>SUMIF('Approved FX'!$A$5:$A$7,E98,'Approved FX'!$B$5:$B$7)</f>
        <v>1</v>
      </c>
      <c r="G98" s="8">
        <f t="shared" si="21"/>
        <v>80400</v>
      </c>
      <c r="H98" s="8">
        <f>SUMIFS('Cash Flow Ledger'!$G$5:$G$135,'Cash Flow Ledger'!$A$5:$A$135,B98,'Cash Flow Ledger'!$B$5:$B$135,C98)</f>
        <v>-410000</v>
      </c>
      <c r="I98" s="8">
        <f>IF(AND(C98="E004",B98=SUMIF('Scenario Assumptions'!$A$5:$A$7,A98,'Scenario Assumptions'!$B$5:$B$7)),SUMIF('Scenario Assumptions'!$A$5:$A$7,A98,'Scenario Assumptions'!$C$5:$C$7),0)</f>
        <v>0</v>
      </c>
      <c r="J98" s="8">
        <f>IF(AND(C98="E004",B98=SUMIF('Scenario Assumptions'!$A$5:$A$7,A98,'Scenario Assumptions'!$D$5:$D$7)), -SUMIF('Scenario Assumptions'!$A$5:$A$7,A98,'Scenario Assumptions'!$E$5:$E$7),0)</f>
        <v>0</v>
      </c>
      <c r="K98" s="5">
        <v>0</v>
      </c>
      <c r="L98" s="8">
        <f t="shared" si="15"/>
        <v>-329600</v>
      </c>
      <c r="M98" s="8">
        <f>SUMIF(Entities!$A$5:$A$10,C98,Entities!$D$5:$D$10)</f>
        <v>200000</v>
      </c>
      <c r="N98" s="8">
        <f t="shared" si="16"/>
        <v>-529600</v>
      </c>
      <c r="O98" s="8">
        <f t="shared" si="17"/>
        <v>-329600</v>
      </c>
      <c r="P98" t="str">
        <f t="shared" si="18"/>
        <v>NEGATIVE</v>
      </c>
    </row>
    <row r="99" spans="1:16" x14ac:dyDescent="0.25">
      <c r="A99" s="12" t="s">
        <v>177</v>
      </c>
      <c r="B99" s="9">
        <v>46269</v>
      </c>
      <c r="C99" s="12" t="s">
        <v>43</v>
      </c>
      <c r="D99" s="12" t="s">
        <v>44</v>
      </c>
      <c r="E99" s="12" t="s">
        <v>36</v>
      </c>
      <c r="F99" s="13">
        <f>SUMIF('Approved FX'!$A$5:$A$7,E99,'Approved FX'!$B$5:$B$7)</f>
        <v>1</v>
      </c>
      <c r="G99" s="8">
        <f t="shared" si="21"/>
        <v>-329600</v>
      </c>
      <c r="H99" s="8">
        <f>SUMIFS('Cash Flow Ledger'!$G$5:$G$135,'Cash Flow Ledger'!$A$5:$A$135,B99,'Cash Flow Ledger'!$B$5:$B$135,C99)</f>
        <v>-115000</v>
      </c>
      <c r="I99" s="8">
        <f>IF(AND(C99="E004",B99=SUMIF('Scenario Assumptions'!$A$5:$A$7,A99,'Scenario Assumptions'!$B$5:$B$7)),SUMIF('Scenario Assumptions'!$A$5:$A$7,A99,'Scenario Assumptions'!$C$5:$C$7),0)</f>
        <v>620000</v>
      </c>
      <c r="J99" s="8">
        <f>IF(AND(C99="E004",B99=SUMIF('Scenario Assumptions'!$A$5:$A$7,A99,'Scenario Assumptions'!$D$5:$D$7)), -SUMIF('Scenario Assumptions'!$A$5:$A$7,A99,'Scenario Assumptions'!$E$5:$E$7),0)</f>
        <v>0</v>
      </c>
      <c r="K99" s="5">
        <v>0</v>
      </c>
      <c r="L99" s="8">
        <f t="shared" si="15"/>
        <v>175400</v>
      </c>
      <c r="M99" s="8">
        <f>SUMIF(Entities!$A$5:$A$10,C99,Entities!$D$5:$D$10)</f>
        <v>200000</v>
      </c>
      <c r="N99" s="8">
        <f t="shared" si="16"/>
        <v>-24600</v>
      </c>
      <c r="O99" s="8">
        <f t="shared" si="17"/>
        <v>175400</v>
      </c>
      <c r="P99" t="str">
        <f t="shared" si="18"/>
        <v>BELOW MINIMUM</v>
      </c>
    </row>
    <row r="100" spans="1:16" x14ac:dyDescent="0.25">
      <c r="A100" s="12" t="s">
        <v>177</v>
      </c>
      <c r="B100" s="9">
        <v>46270</v>
      </c>
      <c r="C100" s="12" t="s">
        <v>43</v>
      </c>
      <c r="D100" s="12" t="s">
        <v>44</v>
      </c>
      <c r="E100" s="12" t="s">
        <v>36</v>
      </c>
      <c r="F100" s="13">
        <f>SUMIF('Approved FX'!$A$5:$A$7,E100,'Approved FX'!$B$5:$B$7)</f>
        <v>1</v>
      </c>
      <c r="G100" s="8">
        <f t="shared" si="21"/>
        <v>175400</v>
      </c>
      <c r="H100" s="8">
        <f>SUMIFS('Cash Flow Ledger'!$G$5:$G$135,'Cash Flow Ledger'!$A$5:$A$135,B100,'Cash Flow Ledger'!$B$5:$B$135,C100)</f>
        <v>-90000</v>
      </c>
      <c r="I100" s="8">
        <f>IF(AND(C100="E004",B100=SUMIF('Scenario Assumptions'!$A$5:$A$7,A100,'Scenario Assumptions'!$B$5:$B$7)),SUMIF('Scenario Assumptions'!$A$5:$A$7,A100,'Scenario Assumptions'!$C$5:$C$7),0)</f>
        <v>0</v>
      </c>
      <c r="J100" s="8">
        <f>IF(AND(C100="E004",B100=SUMIF('Scenario Assumptions'!$A$5:$A$7,A100,'Scenario Assumptions'!$D$5:$D$7)), -SUMIF('Scenario Assumptions'!$A$5:$A$7,A100,'Scenario Assumptions'!$E$5:$E$7),0)</f>
        <v>0</v>
      </c>
      <c r="K100" s="5">
        <v>0</v>
      </c>
      <c r="L100" s="8">
        <f t="shared" si="15"/>
        <v>85400</v>
      </c>
      <c r="M100" s="8">
        <f>SUMIF(Entities!$A$5:$A$10,C100,Entities!$D$5:$D$10)</f>
        <v>200000</v>
      </c>
      <c r="N100" s="8">
        <f t="shared" si="16"/>
        <v>-114600</v>
      </c>
      <c r="O100" s="8">
        <f t="shared" si="17"/>
        <v>85400</v>
      </c>
      <c r="P100" t="str">
        <f t="shared" si="18"/>
        <v>BELOW MINIMUM</v>
      </c>
    </row>
    <row r="101" spans="1:16" x14ac:dyDescent="0.25">
      <c r="A101" s="12" t="s">
        <v>177</v>
      </c>
      <c r="B101" s="9">
        <v>46271</v>
      </c>
      <c r="C101" s="12" t="s">
        <v>43</v>
      </c>
      <c r="D101" s="12" t="s">
        <v>44</v>
      </c>
      <c r="E101" s="12" t="s">
        <v>36</v>
      </c>
      <c r="F101" s="13">
        <f>SUMIF('Approved FX'!$A$5:$A$7,E101,'Approved FX'!$B$5:$B$7)</f>
        <v>1</v>
      </c>
      <c r="G101" s="8">
        <f t="shared" si="21"/>
        <v>85400</v>
      </c>
      <c r="H101" s="8">
        <f>SUMIFS('Cash Flow Ledger'!$G$5:$G$135,'Cash Flow Ledger'!$A$5:$A$135,B101,'Cash Flow Ledger'!$B$5:$B$135,C101)</f>
        <v>5000</v>
      </c>
      <c r="I101" s="8">
        <f>IF(AND(C101="E004",B101=SUMIF('Scenario Assumptions'!$A$5:$A$7,A101,'Scenario Assumptions'!$B$5:$B$7)),SUMIF('Scenario Assumptions'!$A$5:$A$7,A101,'Scenario Assumptions'!$C$5:$C$7),0)</f>
        <v>0</v>
      </c>
      <c r="J101" s="8">
        <f>IF(AND(C101="E004",B101=SUMIF('Scenario Assumptions'!$A$5:$A$7,A101,'Scenario Assumptions'!$D$5:$D$7)), -SUMIF('Scenario Assumptions'!$A$5:$A$7,A101,'Scenario Assumptions'!$E$5:$E$7),0)</f>
        <v>0</v>
      </c>
      <c r="K101" s="5">
        <v>0</v>
      </c>
      <c r="L101" s="8">
        <f t="shared" ref="L101:L132" si="22">G101+H101+I101+J101+K101</f>
        <v>90400</v>
      </c>
      <c r="M101" s="8">
        <f>SUMIF(Entities!$A$5:$A$10,C101,Entities!$D$5:$D$10)</f>
        <v>200000</v>
      </c>
      <c r="N101" s="8">
        <f t="shared" ref="N101:N132" si="23">L101-M101</f>
        <v>-109600</v>
      </c>
      <c r="O101" s="8">
        <f t="shared" ref="O101:O132" si="24">L101*F101</f>
        <v>90400</v>
      </c>
      <c r="P101" t="str">
        <f t="shared" ref="P101:P132" si="25">IF(L101&lt;0,"NEGATIVE",IF(L101&lt;M101,"BELOW MINIMUM","OK"))</f>
        <v>BELOW MINIMUM</v>
      </c>
    </row>
    <row r="102" spans="1:16" x14ac:dyDescent="0.25">
      <c r="A102" s="12" t="s">
        <v>177</v>
      </c>
      <c r="B102" s="9">
        <v>46272</v>
      </c>
      <c r="C102" s="12" t="s">
        <v>43</v>
      </c>
      <c r="D102" s="12" t="s">
        <v>44</v>
      </c>
      <c r="E102" s="12" t="s">
        <v>36</v>
      </c>
      <c r="F102" s="13">
        <f>SUMIF('Approved FX'!$A$5:$A$7,E102,'Approved FX'!$B$5:$B$7)</f>
        <v>1</v>
      </c>
      <c r="G102" s="8">
        <f t="shared" si="21"/>
        <v>90400</v>
      </c>
      <c r="H102" s="8">
        <f>SUMIFS('Cash Flow Ledger'!$G$5:$G$135,'Cash Flow Ledger'!$A$5:$A$135,B102,'Cash Flow Ledger'!$B$5:$B$135,C102)</f>
        <v>-145000</v>
      </c>
      <c r="I102" s="8">
        <f>IF(AND(C102="E004",B102=SUMIF('Scenario Assumptions'!$A$5:$A$7,A102,'Scenario Assumptions'!$B$5:$B$7)),SUMIF('Scenario Assumptions'!$A$5:$A$7,A102,'Scenario Assumptions'!$C$5:$C$7),0)</f>
        <v>0</v>
      </c>
      <c r="J102" s="8">
        <f>IF(AND(C102="E004",B102=SUMIF('Scenario Assumptions'!$A$5:$A$7,A102,'Scenario Assumptions'!$D$5:$D$7)), -SUMIF('Scenario Assumptions'!$A$5:$A$7,A102,'Scenario Assumptions'!$E$5:$E$7),0)</f>
        <v>0</v>
      </c>
      <c r="K102" s="5">
        <v>0</v>
      </c>
      <c r="L102" s="8">
        <f t="shared" si="22"/>
        <v>-54600</v>
      </c>
      <c r="M102" s="8">
        <f>SUMIF(Entities!$A$5:$A$10,C102,Entities!$D$5:$D$10)</f>
        <v>200000</v>
      </c>
      <c r="N102" s="8">
        <f t="shared" si="23"/>
        <v>-254600</v>
      </c>
      <c r="O102" s="8">
        <f t="shared" si="24"/>
        <v>-54600</v>
      </c>
      <c r="P102" t="str">
        <f t="shared" si="25"/>
        <v>NEGATIVE</v>
      </c>
    </row>
    <row r="103" spans="1:16" x14ac:dyDescent="0.25">
      <c r="A103" s="12" t="s">
        <v>177</v>
      </c>
      <c r="B103" s="9">
        <v>46273</v>
      </c>
      <c r="C103" s="12" t="s">
        <v>43</v>
      </c>
      <c r="D103" s="12" t="s">
        <v>44</v>
      </c>
      <c r="E103" s="12" t="s">
        <v>36</v>
      </c>
      <c r="F103" s="13">
        <f>SUMIF('Approved FX'!$A$5:$A$7,E103,'Approved FX'!$B$5:$B$7)</f>
        <v>1</v>
      </c>
      <c r="G103" s="8">
        <f t="shared" si="21"/>
        <v>-54600</v>
      </c>
      <c r="H103" s="8">
        <f>SUMIFS('Cash Flow Ledger'!$G$5:$G$135,'Cash Flow Ledger'!$A$5:$A$135,B103,'Cash Flow Ledger'!$B$5:$B$135,C103)</f>
        <v>35000</v>
      </c>
      <c r="I103" s="8">
        <f>IF(AND(C103="E004",B103=SUMIF('Scenario Assumptions'!$A$5:$A$7,A103,'Scenario Assumptions'!$B$5:$B$7)),SUMIF('Scenario Assumptions'!$A$5:$A$7,A103,'Scenario Assumptions'!$C$5:$C$7),0)</f>
        <v>0</v>
      </c>
      <c r="J103" s="8">
        <f>IF(AND(C103="E004",B103=SUMIF('Scenario Assumptions'!$A$5:$A$7,A103,'Scenario Assumptions'!$D$5:$D$7)), -SUMIF('Scenario Assumptions'!$A$5:$A$7,A103,'Scenario Assumptions'!$E$5:$E$7),0)</f>
        <v>0</v>
      </c>
      <c r="K103" s="5">
        <v>0</v>
      </c>
      <c r="L103" s="8">
        <f t="shared" si="22"/>
        <v>-19600</v>
      </c>
      <c r="M103" s="8">
        <f>SUMIF(Entities!$A$5:$A$10,C103,Entities!$D$5:$D$10)</f>
        <v>200000</v>
      </c>
      <c r="N103" s="8">
        <f t="shared" si="23"/>
        <v>-219600</v>
      </c>
      <c r="O103" s="8">
        <f t="shared" si="24"/>
        <v>-19600</v>
      </c>
      <c r="P103" t="str">
        <f t="shared" si="25"/>
        <v>NEGATIVE</v>
      </c>
    </row>
    <row r="104" spans="1:16" x14ac:dyDescent="0.25">
      <c r="A104" s="12" t="s">
        <v>177</v>
      </c>
      <c r="B104" s="9">
        <v>46274</v>
      </c>
      <c r="C104" s="12" t="s">
        <v>43</v>
      </c>
      <c r="D104" s="12" t="s">
        <v>44</v>
      </c>
      <c r="E104" s="12" t="s">
        <v>36</v>
      </c>
      <c r="F104" s="13">
        <f>SUMIF('Approved FX'!$A$5:$A$7,E104,'Approved FX'!$B$5:$B$7)</f>
        <v>1</v>
      </c>
      <c r="G104" s="8">
        <f t="shared" si="21"/>
        <v>-19600</v>
      </c>
      <c r="H104" s="8">
        <f>SUMIFS('Cash Flow Ledger'!$G$5:$G$135,'Cash Flow Ledger'!$A$5:$A$135,B104,'Cash Flow Ledger'!$B$5:$B$135,C104)</f>
        <v>-30000</v>
      </c>
      <c r="I104" s="8">
        <f>IF(AND(C104="E004",B104=SUMIF('Scenario Assumptions'!$A$5:$A$7,A104,'Scenario Assumptions'!$B$5:$B$7)),SUMIF('Scenario Assumptions'!$A$5:$A$7,A104,'Scenario Assumptions'!$C$5:$C$7),0)</f>
        <v>0</v>
      </c>
      <c r="J104" s="8">
        <f>IF(AND(C104="E004",B104=SUMIF('Scenario Assumptions'!$A$5:$A$7,A104,'Scenario Assumptions'!$D$5:$D$7)), -SUMIF('Scenario Assumptions'!$A$5:$A$7,A104,'Scenario Assumptions'!$E$5:$E$7),0)</f>
        <v>0</v>
      </c>
      <c r="K104" s="5">
        <v>0</v>
      </c>
      <c r="L104" s="8">
        <f t="shared" si="22"/>
        <v>-49600</v>
      </c>
      <c r="M104" s="8">
        <f>SUMIF(Entities!$A$5:$A$10,C104,Entities!$D$5:$D$10)</f>
        <v>200000</v>
      </c>
      <c r="N104" s="8">
        <f t="shared" si="23"/>
        <v>-249600</v>
      </c>
      <c r="O104" s="8">
        <f t="shared" si="24"/>
        <v>-49600</v>
      </c>
      <c r="P104" t="str">
        <f t="shared" si="25"/>
        <v>NEGATIVE</v>
      </c>
    </row>
    <row r="105" spans="1:16" x14ac:dyDescent="0.25">
      <c r="A105" s="12" t="s">
        <v>177</v>
      </c>
      <c r="B105" s="9">
        <v>46265</v>
      </c>
      <c r="C105" s="12" t="s">
        <v>45</v>
      </c>
      <c r="D105" s="12" t="s">
        <v>46</v>
      </c>
      <c r="E105" s="12" t="s">
        <v>47</v>
      </c>
      <c r="F105" s="13">
        <f>SUMIF('Approved FX'!$A$5:$A$7,E105,'Approved FX'!$B$5:$B$7)</f>
        <v>0.73650000000000004</v>
      </c>
      <c r="G105" s="8">
        <f>SUMIFS('Opening Balances'!$I$5:$I$14,'Opening Balances'!$B$5:$B$14,C105)</f>
        <v>925000</v>
      </c>
      <c r="H105" s="8">
        <f>SUMIFS('Cash Flow Ledger'!$G$5:$G$135,'Cash Flow Ledger'!$A$5:$A$135,B105,'Cash Flow Ledger'!$B$5:$B$135,C105)</f>
        <v>10000</v>
      </c>
      <c r="I105" s="8">
        <f>IF(AND(C105="E004",B105=SUMIF('Scenario Assumptions'!$A$5:$A$7,A105,'Scenario Assumptions'!$B$5:$B$7)),SUMIF('Scenario Assumptions'!$A$5:$A$7,A105,'Scenario Assumptions'!$C$5:$C$7),0)</f>
        <v>0</v>
      </c>
      <c r="J105" s="8">
        <f>IF(AND(C105="E004",B105=SUMIF('Scenario Assumptions'!$A$5:$A$7,A105,'Scenario Assumptions'!$D$5:$D$7)), -SUMIF('Scenario Assumptions'!$A$5:$A$7,A105,'Scenario Assumptions'!$E$5:$E$7),0)</f>
        <v>0</v>
      </c>
      <c r="K105" s="5">
        <v>0</v>
      </c>
      <c r="L105" s="8">
        <f t="shared" si="22"/>
        <v>935000</v>
      </c>
      <c r="M105" s="8">
        <f>SUMIF(Entities!$A$5:$A$10,C105,Entities!$D$5:$D$10)</f>
        <v>300000</v>
      </c>
      <c r="N105" s="8">
        <f t="shared" si="23"/>
        <v>635000</v>
      </c>
      <c r="O105" s="8">
        <f t="shared" si="24"/>
        <v>688627.5</v>
      </c>
      <c r="P105" t="str">
        <f t="shared" si="25"/>
        <v>OK</v>
      </c>
    </row>
    <row r="106" spans="1:16" x14ac:dyDescent="0.25">
      <c r="A106" s="12" t="s">
        <v>177</v>
      </c>
      <c r="B106" s="9">
        <v>46266</v>
      </c>
      <c r="C106" s="12" t="s">
        <v>45</v>
      </c>
      <c r="D106" s="12" t="s">
        <v>46</v>
      </c>
      <c r="E106" s="12" t="s">
        <v>47</v>
      </c>
      <c r="F106" s="13">
        <f>SUMIF('Approved FX'!$A$5:$A$7,E106,'Approved FX'!$B$5:$B$7)</f>
        <v>0.73650000000000004</v>
      </c>
      <c r="G106" s="8">
        <f t="shared" ref="G106:G114" si="26">L105</f>
        <v>935000</v>
      </c>
      <c r="H106" s="8">
        <f>SUMIFS('Cash Flow Ledger'!$G$5:$G$135,'Cash Flow Ledger'!$A$5:$A$135,B106,'Cash Flow Ledger'!$B$5:$B$135,C106)</f>
        <v>15000</v>
      </c>
      <c r="I106" s="8">
        <f>IF(AND(C106="E004",B106=SUMIF('Scenario Assumptions'!$A$5:$A$7,A106,'Scenario Assumptions'!$B$5:$B$7)),SUMIF('Scenario Assumptions'!$A$5:$A$7,A106,'Scenario Assumptions'!$C$5:$C$7),0)</f>
        <v>0</v>
      </c>
      <c r="J106" s="8">
        <f>IF(AND(C106="E004",B106=SUMIF('Scenario Assumptions'!$A$5:$A$7,A106,'Scenario Assumptions'!$D$5:$D$7)), -SUMIF('Scenario Assumptions'!$A$5:$A$7,A106,'Scenario Assumptions'!$E$5:$E$7),0)</f>
        <v>0</v>
      </c>
      <c r="K106" s="5">
        <v>0</v>
      </c>
      <c r="L106" s="8">
        <f t="shared" si="22"/>
        <v>950000</v>
      </c>
      <c r="M106" s="8">
        <f>SUMIF(Entities!$A$5:$A$10,C106,Entities!$D$5:$D$10)</f>
        <v>300000</v>
      </c>
      <c r="N106" s="8">
        <f t="shared" si="23"/>
        <v>650000</v>
      </c>
      <c r="O106" s="8">
        <f t="shared" si="24"/>
        <v>699675</v>
      </c>
      <c r="P106" t="str">
        <f t="shared" si="25"/>
        <v>OK</v>
      </c>
    </row>
    <row r="107" spans="1:16" x14ac:dyDescent="0.25">
      <c r="A107" s="12" t="s">
        <v>177</v>
      </c>
      <c r="B107" s="9">
        <v>46267</v>
      </c>
      <c r="C107" s="12" t="s">
        <v>45</v>
      </c>
      <c r="D107" s="12" t="s">
        <v>46</v>
      </c>
      <c r="E107" s="12" t="s">
        <v>47</v>
      </c>
      <c r="F107" s="13">
        <f>SUMIF('Approved FX'!$A$5:$A$7,E107,'Approved FX'!$B$5:$B$7)</f>
        <v>0.73650000000000004</v>
      </c>
      <c r="G107" s="8">
        <f t="shared" si="26"/>
        <v>950000</v>
      </c>
      <c r="H107" s="8">
        <f>SUMIFS('Cash Flow Ledger'!$G$5:$G$135,'Cash Flow Ledger'!$A$5:$A$135,B107,'Cash Flow Ledger'!$B$5:$B$135,C107)</f>
        <v>20000</v>
      </c>
      <c r="I107" s="8">
        <f>IF(AND(C107="E004",B107=SUMIF('Scenario Assumptions'!$A$5:$A$7,A107,'Scenario Assumptions'!$B$5:$B$7)),SUMIF('Scenario Assumptions'!$A$5:$A$7,A107,'Scenario Assumptions'!$C$5:$C$7),0)</f>
        <v>0</v>
      </c>
      <c r="J107" s="8">
        <f>IF(AND(C107="E004",B107=SUMIF('Scenario Assumptions'!$A$5:$A$7,A107,'Scenario Assumptions'!$D$5:$D$7)), -SUMIF('Scenario Assumptions'!$A$5:$A$7,A107,'Scenario Assumptions'!$E$5:$E$7),0)</f>
        <v>0</v>
      </c>
      <c r="K107" s="5">
        <v>0</v>
      </c>
      <c r="L107" s="8">
        <f t="shared" si="22"/>
        <v>970000</v>
      </c>
      <c r="M107" s="8">
        <f>SUMIF(Entities!$A$5:$A$10,C107,Entities!$D$5:$D$10)</f>
        <v>300000</v>
      </c>
      <c r="N107" s="8">
        <f t="shared" si="23"/>
        <v>670000</v>
      </c>
      <c r="O107" s="8">
        <f t="shared" si="24"/>
        <v>714405</v>
      </c>
      <c r="P107" t="str">
        <f t="shared" si="25"/>
        <v>OK</v>
      </c>
    </row>
    <row r="108" spans="1:16" x14ac:dyDescent="0.25">
      <c r="A108" s="12" t="s">
        <v>177</v>
      </c>
      <c r="B108" s="9">
        <v>46268</v>
      </c>
      <c r="C108" s="12" t="s">
        <v>45</v>
      </c>
      <c r="D108" s="12" t="s">
        <v>46</v>
      </c>
      <c r="E108" s="12" t="s">
        <v>47</v>
      </c>
      <c r="F108" s="13">
        <f>SUMIF('Approved FX'!$A$5:$A$7,E108,'Approved FX'!$B$5:$B$7)</f>
        <v>0.73650000000000004</v>
      </c>
      <c r="G108" s="8">
        <f t="shared" si="26"/>
        <v>970000</v>
      </c>
      <c r="H108" s="8">
        <f>SUMIFS('Cash Flow Ledger'!$G$5:$G$135,'Cash Flow Ledger'!$A$5:$A$135,B108,'Cash Flow Ledger'!$B$5:$B$135,C108)</f>
        <v>-20000</v>
      </c>
      <c r="I108" s="8">
        <f>IF(AND(C108="E004",B108=SUMIF('Scenario Assumptions'!$A$5:$A$7,A108,'Scenario Assumptions'!$B$5:$B$7)),SUMIF('Scenario Assumptions'!$A$5:$A$7,A108,'Scenario Assumptions'!$C$5:$C$7),0)</f>
        <v>0</v>
      </c>
      <c r="J108" s="8">
        <f>IF(AND(C108="E004",B108=SUMIF('Scenario Assumptions'!$A$5:$A$7,A108,'Scenario Assumptions'!$D$5:$D$7)), -SUMIF('Scenario Assumptions'!$A$5:$A$7,A108,'Scenario Assumptions'!$E$5:$E$7),0)</f>
        <v>0</v>
      </c>
      <c r="K108" s="5">
        <v>0</v>
      </c>
      <c r="L108" s="8">
        <f t="shared" si="22"/>
        <v>950000</v>
      </c>
      <c r="M108" s="8">
        <f>SUMIF(Entities!$A$5:$A$10,C108,Entities!$D$5:$D$10)</f>
        <v>300000</v>
      </c>
      <c r="N108" s="8">
        <f t="shared" si="23"/>
        <v>650000</v>
      </c>
      <c r="O108" s="8">
        <f t="shared" si="24"/>
        <v>699675</v>
      </c>
      <c r="P108" t="str">
        <f t="shared" si="25"/>
        <v>OK</v>
      </c>
    </row>
    <row r="109" spans="1:16" x14ac:dyDescent="0.25">
      <c r="A109" s="12" t="s">
        <v>177</v>
      </c>
      <c r="B109" s="9">
        <v>46269</v>
      </c>
      <c r="C109" s="12" t="s">
        <v>45</v>
      </c>
      <c r="D109" s="12" t="s">
        <v>46</v>
      </c>
      <c r="E109" s="12" t="s">
        <v>47</v>
      </c>
      <c r="F109" s="13">
        <f>SUMIF('Approved FX'!$A$5:$A$7,E109,'Approved FX'!$B$5:$B$7)</f>
        <v>0.73650000000000004</v>
      </c>
      <c r="G109" s="8">
        <f t="shared" si="26"/>
        <v>950000</v>
      </c>
      <c r="H109" s="8">
        <f>SUMIFS('Cash Flow Ledger'!$G$5:$G$135,'Cash Flow Ledger'!$A$5:$A$135,B109,'Cash Flow Ledger'!$B$5:$B$135,C109)</f>
        <v>25000</v>
      </c>
      <c r="I109" s="8">
        <f>IF(AND(C109="E004",B109=SUMIF('Scenario Assumptions'!$A$5:$A$7,A109,'Scenario Assumptions'!$B$5:$B$7)),SUMIF('Scenario Assumptions'!$A$5:$A$7,A109,'Scenario Assumptions'!$C$5:$C$7),0)</f>
        <v>0</v>
      </c>
      <c r="J109" s="8">
        <f>IF(AND(C109="E004",B109=SUMIF('Scenario Assumptions'!$A$5:$A$7,A109,'Scenario Assumptions'!$D$5:$D$7)), -SUMIF('Scenario Assumptions'!$A$5:$A$7,A109,'Scenario Assumptions'!$E$5:$E$7),0)</f>
        <v>0</v>
      </c>
      <c r="K109" s="5">
        <v>0</v>
      </c>
      <c r="L109" s="8">
        <f t="shared" si="22"/>
        <v>975000</v>
      </c>
      <c r="M109" s="8">
        <f>SUMIF(Entities!$A$5:$A$10,C109,Entities!$D$5:$D$10)</f>
        <v>300000</v>
      </c>
      <c r="N109" s="8">
        <f t="shared" si="23"/>
        <v>675000</v>
      </c>
      <c r="O109" s="8">
        <f t="shared" si="24"/>
        <v>718087.5</v>
      </c>
      <c r="P109" t="str">
        <f t="shared" si="25"/>
        <v>OK</v>
      </c>
    </row>
    <row r="110" spans="1:16" x14ac:dyDescent="0.25">
      <c r="A110" s="12" t="s">
        <v>177</v>
      </c>
      <c r="B110" s="9">
        <v>46270</v>
      </c>
      <c r="C110" s="12" t="s">
        <v>45</v>
      </c>
      <c r="D110" s="12" t="s">
        <v>46</v>
      </c>
      <c r="E110" s="12" t="s">
        <v>47</v>
      </c>
      <c r="F110" s="13">
        <f>SUMIF('Approved FX'!$A$5:$A$7,E110,'Approved FX'!$B$5:$B$7)</f>
        <v>0.73650000000000004</v>
      </c>
      <c r="G110" s="8">
        <f t="shared" si="26"/>
        <v>975000</v>
      </c>
      <c r="H110" s="8">
        <f>SUMIFS('Cash Flow Ledger'!$G$5:$G$135,'Cash Flow Ledger'!$A$5:$A$135,B110,'Cash Flow Ledger'!$B$5:$B$135,C110)</f>
        <v>30000</v>
      </c>
      <c r="I110" s="8">
        <f>IF(AND(C110="E004",B110=SUMIF('Scenario Assumptions'!$A$5:$A$7,A110,'Scenario Assumptions'!$B$5:$B$7)),SUMIF('Scenario Assumptions'!$A$5:$A$7,A110,'Scenario Assumptions'!$C$5:$C$7),0)</f>
        <v>0</v>
      </c>
      <c r="J110" s="8">
        <f>IF(AND(C110="E004",B110=SUMIF('Scenario Assumptions'!$A$5:$A$7,A110,'Scenario Assumptions'!$D$5:$D$7)), -SUMIF('Scenario Assumptions'!$A$5:$A$7,A110,'Scenario Assumptions'!$E$5:$E$7),0)</f>
        <v>0</v>
      </c>
      <c r="K110" s="5">
        <v>0</v>
      </c>
      <c r="L110" s="8">
        <f t="shared" si="22"/>
        <v>1005000</v>
      </c>
      <c r="M110" s="8">
        <f>SUMIF(Entities!$A$5:$A$10,C110,Entities!$D$5:$D$10)</f>
        <v>300000</v>
      </c>
      <c r="N110" s="8">
        <f t="shared" si="23"/>
        <v>705000</v>
      </c>
      <c r="O110" s="8">
        <f t="shared" si="24"/>
        <v>740182.5</v>
      </c>
      <c r="P110" t="str">
        <f t="shared" si="25"/>
        <v>OK</v>
      </c>
    </row>
    <row r="111" spans="1:16" x14ac:dyDescent="0.25">
      <c r="A111" s="12" t="s">
        <v>177</v>
      </c>
      <c r="B111" s="9">
        <v>46271</v>
      </c>
      <c r="C111" s="12" t="s">
        <v>45</v>
      </c>
      <c r="D111" s="12" t="s">
        <v>46</v>
      </c>
      <c r="E111" s="12" t="s">
        <v>47</v>
      </c>
      <c r="F111" s="13">
        <f>SUMIF('Approved FX'!$A$5:$A$7,E111,'Approved FX'!$B$5:$B$7)</f>
        <v>0.73650000000000004</v>
      </c>
      <c r="G111" s="8">
        <f t="shared" si="26"/>
        <v>1005000</v>
      </c>
      <c r="H111" s="8">
        <f>SUMIFS('Cash Flow Ledger'!$G$5:$G$135,'Cash Flow Ledger'!$A$5:$A$135,B111,'Cash Flow Ledger'!$B$5:$B$135,C111)</f>
        <v>-10000</v>
      </c>
      <c r="I111" s="8">
        <f>IF(AND(C111="E004",B111=SUMIF('Scenario Assumptions'!$A$5:$A$7,A111,'Scenario Assumptions'!$B$5:$B$7)),SUMIF('Scenario Assumptions'!$A$5:$A$7,A111,'Scenario Assumptions'!$C$5:$C$7),0)</f>
        <v>0</v>
      </c>
      <c r="J111" s="8">
        <f>IF(AND(C111="E004",B111=SUMIF('Scenario Assumptions'!$A$5:$A$7,A111,'Scenario Assumptions'!$D$5:$D$7)), -SUMIF('Scenario Assumptions'!$A$5:$A$7,A111,'Scenario Assumptions'!$E$5:$E$7),0)</f>
        <v>0</v>
      </c>
      <c r="K111" s="5">
        <v>0</v>
      </c>
      <c r="L111" s="8">
        <f t="shared" si="22"/>
        <v>995000</v>
      </c>
      <c r="M111" s="8">
        <f>SUMIF(Entities!$A$5:$A$10,C111,Entities!$D$5:$D$10)</f>
        <v>300000</v>
      </c>
      <c r="N111" s="8">
        <f t="shared" si="23"/>
        <v>695000</v>
      </c>
      <c r="O111" s="8">
        <f t="shared" si="24"/>
        <v>732817.5</v>
      </c>
      <c r="P111" t="str">
        <f t="shared" si="25"/>
        <v>OK</v>
      </c>
    </row>
    <row r="112" spans="1:16" x14ac:dyDescent="0.25">
      <c r="A112" s="12" t="s">
        <v>177</v>
      </c>
      <c r="B112" s="9">
        <v>46272</v>
      </c>
      <c r="C112" s="12" t="s">
        <v>45</v>
      </c>
      <c r="D112" s="12" t="s">
        <v>46</v>
      </c>
      <c r="E112" s="12" t="s">
        <v>47</v>
      </c>
      <c r="F112" s="13">
        <f>SUMIF('Approved FX'!$A$5:$A$7,E112,'Approved FX'!$B$5:$B$7)</f>
        <v>0.73650000000000004</v>
      </c>
      <c r="G112" s="8">
        <f t="shared" si="26"/>
        <v>995000</v>
      </c>
      <c r="H112" s="8">
        <f>SUMIFS('Cash Flow Ledger'!$G$5:$G$135,'Cash Flow Ledger'!$A$5:$A$135,B112,'Cash Flow Ledger'!$B$5:$B$135,C112)</f>
        <v>-5000</v>
      </c>
      <c r="I112" s="8">
        <f>IF(AND(C112="E004",B112=SUMIF('Scenario Assumptions'!$A$5:$A$7,A112,'Scenario Assumptions'!$B$5:$B$7)),SUMIF('Scenario Assumptions'!$A$5:$A$7,A112,'Scenario Assumptions'!$C$5:$C$7),0)</f>
        <v>0</v>
      </c>
      <c r="J112" s="8">
        <f>IF(AND(C112="E004",B112=SUMIF('Scenario Assumptions'!$A$5:$A$7,A112,'Scenario Assumptions'!$D$5:$D$7)), -SUMIF('Scenario Assumptions'!$A$5:$A$7,A112,'Scenario Assumptions'!$E$5:$E$7),0)</f>
        <v>0</v>
      </c>
      <c r="K112" s="5">
        <v>0</v>
      </c>
      <c r="L112" s="8">
        <f t="shared" si="22"/>
        <v>990000</v>
      </c>
      <c r="M112" s="8">
        <f>SUMIF(Entities!$A$5:$A$10,C112,Entities!$D$5:$D$10)</f>
        <v>300000</v>
      </c>
      <c r="N112" s="8">
        <f t="shared" si="23"/>
        <v>690000</v>
      </c>
      <c r="O112" s="8">
        <f t="shared" si="24"/>
        <v>729135</v>
      </c>
      <c r="P112" t="str">
        <f t="shared" si="25"/>
        <v>OK</v>
      </c>
    </row>
    <row r="113" spans="1:16" x14ac:dyDescent="0.25">
      <c r="A113" s="12" t="s">
        <v>177</v>
      </c>
      <c r="B113" s="9">
        <v>46273</v>
      </c>
      <c r="C113" s="12" t="s">
        <v>45</v>
      </c>
      <c r="D113" s="12" t="s">
        <v>46</v>
      </c>
      <c r="E113" s="12" t="s">
        <v>47</v>
      </c>
      <c r="F113" s="13">
        <f>SUMIF('Approved FX'!$A$5:$A$7,E113,'Approved FX'!$B$5:$B$7)</f>
        <v>0.73650000000000004</v>
      </c>
      <c r="G113" s="8">
        <f t="shared" si="26"/>
        <v>990000</v>
      </c>
      <c r="H113" s="8">
        <f>SUMIFS('Cash Flow Ledger'!$G$5:$G$135,'Cash Flow Ledger'!$A$5:$A$135,B113,'Cash Flow Ledger'!$B$5:$B$135,C113)</f>
        <v>-105000</v>
      </c>
      <c r="I113" s="8">
        <f>IF(AND(C113="E004",B113=SUMIF('Scenario Assumptions'!$A$5:$A$7,A113,'Scenario Assumptions'!$B$5:$B$7)),SUMIF('Scenario Assumptions'!$A$5:$A$7,A113,'Scenario Assumptions'!$C$5:$C$7),0)</f>
        <v>0</v>
      </c>
      <c r="J113" s="8">
        <f>IF(AND(C113="E004",B113=SUMIF('Scenario Assumptions'!$A$5:$A$7,A113,'Scenario Assumptions'!$D$5:$D$7)), -SUMIF('Scenario Assumptions'!$A$5:$A$7,A113,'Scenario Assumptions'!$E$5:$E$7),0)</f>
        <v>0</v>
      </c>
      <c r="K113" s="5">
        <v>0</v>
      </c>
      <c r="L113" s="8">
        <f t="shared" si="22"/>
        <v>885000</v>
      </c>
      <c r="M113" s="8">
        <f>SUMIF(Entities!$A$5:$A$10,C113,Entities!$D$5:$D$10)</f>
        <v>300000</v>
      </c>
      <c r="N113" s="8">
        <f t="shared" si="23"/>
        <v>585000</v>
      </c>
      <c r="O113" s="8">
        <f t="shared" si="24"/>
        <v>651802.5</v>
      </c>
      <c r="P113" t="str">
        <f t="shared" si="25"/>
        <v>OK</v>
      </c>
    </row>
    <row r="114" spans="1:16" x14ac:dyDescent="0.25">
      <c r="A114" s="12" t="s">
        <v>177</v>
      </c>
      <c r="B114" s="9">
        <v>46274</v>
      </c>
      <c r="C114" s="12" t="s">
        <v>45</v>
      </c>
      <c r="D114" s="12" t="s">
        <v>46</v>
      </c>
      <c r="E114" s="12" t="s">
        <v>47</v>
      </c>
      <c r="F114" s="13">
        <f>SUMIF('Approved FX'!$A$5:$A$7,E114,'Approved FX'!$B$5:$B$7)</f>
        <v>0.73650000000000004</v>
      </c>
      <c r="G114" s="8">
        <f t="shared" si="26"/>
        <v>885000</v>
      </c>
      <c r="H114" s="8">
        <f>SUMIFS('Cash Flow Ledger'!$G$5:$G$135,'Cash Flow Ledger'!$A$5:$A$135,B114,'Cash Flow Ledger'!$B$5:$B$135,C114)</f>
        <v>0</v>
      </c>
      <c r="I114" s="8">
        <f>IF(AND(C114="E004",B114=SUMIF('Scenario Assumptions'!$A$5:$A$7,A114,'Scenario Assumptions'!$B$5:$B$7)),SUMIF('Scenario Assumptions'!$A$5:$A$7,A114,'Scenario Assumptions'!$C$5:$C$7),0)</f>
        <v>0</v>
      </c>
      <c r="J114" s="8">
        <f>IF(AND(C114="E004",B114=SUMIF('Scenario Assumptions'!$A$5:$A$7,A114,'Scenario Assumptions'!$D$5:$D$7)), -SUMIF('Scenario Assumptions'!$A$5:$A$7,A114,'Scenario Assumptions'!$E$5:$E$7),0)</f>
        <v>0</v>
      </c>
      <c r="K114" s="5">
        <v>0</v>
      </c>
      <c r="L114" s="8">
        <f t="shared" si="22"/>
        <v>885000</v>
      </c>
      <c r="M114" s="8">
        <f>SUMIF(Entities!$A$5:$A$10,C114,Entities!$D$5:$D$10)</f>
        <v>300000</v>
      </c>
      <c r="N114" s="8">
        <f t="shared" si="23"/>
        <v>585000</v>
      </c>
      <c r="O114" s="8">
        <f t="shared" si="24"/>
        <v>651802.5</v>
      </c>
      <c r="P114" t="str">
        <f t="shared" si="25"/>
        <v>OK</v>
      </c>
    </row>
    <row r="115" spans="1:16" x14ac:dyDescent="0.25">
      <c r="A115" s="12" t="s">
        <v>177</v>
      </c>
      <c r="B115" s="9">
        <v>46265</v>
      </c>
      <c r="C115" s="12" t="s">
        <v>48</v>
      </c>
      <c r="D115" s="12" t="s">
        <v>49</v>
      </c>
      <c r="E115" s="12" t="s">
        <v>50</v>
      </c>
      <c r="F115" s="13">
        <f>SUMIF('Approved FX'!$A$5:$A$7,E115,'Approved FX'!$B$5:$B$7)</f>
        <v>1.1739999999999999</v>
      </c>
      <c r="G115" s="8">
        <f>SUMIFS('Opening Balances'!$I$5:$I$14,'Opening Balances'!$B$5:$B$14,C115)</f>
        <v>725000</v>
      </c>
      <c r="H115" s="8">
        <f>SUMIFS('Cash Flow Ledger'!$G$5:$G$135,'Cash Flow Ledger'!$A$5:$A$135,B115,'Cash Flow Ledger'!$B$5:$B$135,C115)</f>
        <v>15000</v>
      </c>
      <c r="I115" s="8">
        <f>IF(AND(C115="E004",B115=SUMIF('Scenario Assumptions'!$A$5:$A$7,A115,'Scenario Assumptions'!$B$5:$B$7)),SUMIF('Scenario Assumptions'!$A$5:$A$7,A115,'Scenario Assumptions'!$C$5:$C$7),0)</f>
        <v>0</v>
      </c>
      <c r="J115" s="8">
        <f>IF(AND(C115="E004",B115=SUMIF('Scenario Assumptions'!$A$5:$A$7,A115,'Scenario Assumptions'!$D$5:$D$7)), -SUMIF('Scenario Assumptions'!$A$5:$A$7,A115,'Scenario Assumptions'!$E$5:$E$7),0)</f>
        <v>0</v>
      </c>
      <c r="K115" s="5">
        <v>0</v>
      </c>
      <c r="L115" s="8">
        <f t="shared" si="22"/>
        <v>740000</v>
      </c>
      <c r="M115" s="8">
        <f>SUMIF(Entities!$A$5:$A$10,C115,Entities!$D$5:$D$10)</f>
        <v>400000</v>
      </c>
      <c r="N115" s="8">
        <f t="shared" si="23"/>
        <v>340000</v>
      </c>
      <c r="O115" s="8">
        <f t="shared" si="24"/>
        <v>868760</v>
      </c>
      <c r="P115" t="str">
        <f t="shared" si="25"/>
        <v>OK</v>
      </c>
    </row>
    <row r="116" spans="1:16" x14ac:dyDescent="0.25">
      <c r="A116" s="12" t="s">
        <v>177</v>
      </c>
      <c r="B116" s="9">
        <v>46266</v>
      </c>
      <c r="C116" s="12" t="s">
        <v>48</v>
      </c>
      <c r="D116" s="12" t="s">
        <v>49</v>
      </c>
      <c r="E116" s="12" t="s">
        <v>50</v>
      </c>
      <c r="F116" s="13">
        <f>SUMIF('Approved FX'!$A$5:$A$7,E116,'Approved FX'!$B$5:$B$7)</f>
        <v>1.1739999999999999</v>
      </c>
      <c r="G116" s="8">
        <f t="shared" ref="G116:G124" si="27">L115</f>
        <v>740000</v>
      </c>
      <c r="H116" s="8">
        <f>SUMIFS('Cash Flow Ledger'!$G$5:$G$135,'Cash Flow Ledger'!$A$5:$A$135,B116,'Cash Flow Ledger'!$B$5:$B$135,C116)</f>
        <v>-27500</v>
      </c>
      <c r="I116" s="8">
        <f>IF(AND(C116="E004",B116=SUMIF('Scenario Assumptions'!$A$5:$A$7,A116,'Scenario Assumptions'!$B$5:$B$7)),SUMIF('Scenario Assumptions'!$A$5:$A$7,A116,'Scenario Assumptions'!$C$5:$C$7),0)</f>
        <v>0</v>
      </c>
      <c r="J116" s="8">
        <f>IF(AND(C116="E004",B116=SUMIF('Scenario Assumptions'!$A$5:$A$7,A116,'Scenario Assumptions'!$D$5:$D$7)), -SUMIF('Scenario Assumptions'!$A$5:$A$7,A116,'Scenario Assumptions'!$E$5:$E$7),0)</f>
        <v>0</v>
      </c>
      <c r="K116" s="5">
        <v>0</v>
      </c>
      <c r="L116" s="8">
        <f t="shared" si="22"/>
        <v>712500</v>
      </c>
      <c r="M116" s="8">
        <f>SUMIF(Entities!$A$5:$A$10,C116,Entities!$D$5:$D$10)</f>
        <v>400000</v>
      </c>
      <c r="N116" s="8">
        <f t="shared" si="23"/>
        <v>312500</v>
      </c>
      <c r="O116" s="8">
        <f t="shared" si="24"/>
        <v>836475</v>
      </c>
      <c r="P116" t="str">
        <f t="shared" si="25"/>
        <v>OK</v>
      </c>
    </row>
    <row r="117" spans="1:16" x14ac:dyDescent="0.25">
      <c r="A117" s="12" t="s">
        <v>177</v>
      </c>
      <c r="B117" s="9">
        <v>46267</v>
      </c>
      <c r="C117" s="12" t="s">
        <v>48</v>
      </c>
      <c r="D117" s="12" t="s">
        <v>49</v>
      </c>
      <c r="E117" s="12" t="s">
        <v>50</v>
      </c>
      <c r="F117" s="13">
        <f>SUMIF('Approved FX'!$A$5:$A$7,E117,'Approved FX'!$B$5:$B$7)</f>
        <v>1.1739999999999999</v>
      </c>
      <c r="G117" s="8">
        <f t="shared" si="27"/>
        <v>712500</v>
      </c>
      <c r="H117" s="8">
        <f>SUMIFS('Cash Flow Ledger'!$G$5:$G$135,'Cash Flow Ledger'!$A$5:$A$135,B117,'Cash Flow Ledger'!$B$5:$B$135,C117)</f>
        <v>15000</v>
      </c>
      <c r="I117" s="8">
        <f>IF(AND(C117="E004",B117=SUMIF('Scenario Assumptions'!$A$5:$A$7,A117,'Scenario Assumptions'!$B$5:$B$7)),SUMIF('Scenario Assumptions'!$A$5:$A$7,A117,'Scenario Assumptions'!$C$5:$C$7),0)</f>
        <v>0</v>
      </c>
      <c r="J117" s="8">
        <f>IF(AND(C117="E004",B117=SUMIF('Scenario Assumptions'!$A$5:$A$7,A117,'Scenario Assumptions'!$D$5:$D$7)), -SUMIF('Scenario Assumptions'!$A$5:$A$7,A117,'Scenario Assumptions'!$E$5:$E$7),0)</f>
        <v>0</v>
      </c>
      <c r="K117" s="5">
        <v>0</v>
      </c>
      <c r="L117" s="8">
        <f t="shared" si="22"/>
        <v>727500</v>
      </c>
      <c r="M117" s="8">
        <f>SUMIF(Entities!$A$5:$A$10,C117,Entities!$D$5:$D$10)</f>
        <v>400000</v>
      </c>
      <c r="N117" s="8">
        <f t="shared" si="23"/>
        <v>327500</v>
      </c>
      <c r="O117" s="8">
        <f t="shared" si="24"/>
        <v>854085</v>
      </c>
      <c r="P117" t="str">
        <f t="shared" si="25"/>
        <v>OK</v>
      </c>
    </row>
    <row r="118" spans="1:16" x14ac:dyDescent="0.25">
      <c r="A118" s="12" t="s">
        <v>177</v>
      </c>
      <c r="B118" s="9">
        <v>46268</v>
      </c>
      <c r="C118" s="12" t="s">
        <v>48</v>
      </c>
      <c r="D118" s="12" t="s">
        <v>49</v>
      </c>
      <c r="E118" s="12" t="s">
        <v>50</v>
      </c>
      <c r="F118" s="13">
        <f>SUMIF('Approved FX'!$A$5:$A$7,E118,'Approved FX'!$B$5:$B$7)</f>
        <v>1.1739999999999999</v>
      </c>
      <c r="G118" s="8">
        <f t="shared" si="27"/>
        <v>727500</v>
      </c>
      <c r="H118" s="8">
        <f>SUMIFS('Cash Flow Ledger'!$G$5:$G$135,'Cash Flow Ledger'!$A$5:$A$135,B118,'Cash Flow Ledger'!$B$5:$B$135,C118)</f>
        <v>-25000</v>
      </c>
      <c r="I118" s="8">
        <f>IF(AND(C118="E004",B118=SUMIF('Scenario Assumptions'!$A$5:$A$7,A118,'Scenario Assumptions'!$B$5:$B$7)),SUMIF('Scenario Assumptions'!$A$5:$A$7,A118,'Scenario Assumptions'!$C$5:$C$7),0)</f>
        <v>0</v>
      </c>
      <c r="J118" s="8">
        <f>IF(AND(C118="E004",B118=SUMIF('Scenario Assumptions'!$A$5:$A$7,A118,'Scenario Assumptions'!$D$5:$D$7)), -SUMIF('Scenario Assumptions'!$A$5:$A$7,A118,'Scenario Assumptions'!$E$5:$E$7),0)</f>
        <v>0</v>
      </c>
      <c r="K118" s="5">
        <v>0</v>
      </c>
      <c r="L118" s="8">
        <f t="shared" si="22"/>
        <v>702500</v>
      </c>
      <c r="M118" s="8">
        <f>SUMIF(Entities!$A$5:$A$10,C118,Entities!$D$5:$D$10)</f>
        <v>400000</v>
      </c>
      <c r="N118" s="8">
        <f t="shared" si="23"/>
        <v>302500</v>
      </c>
      <c r="O118" s="8">
        <f t="shared" si="24"/>
        <v>824735</v>
      </c>
      <c r="P118" t="str">
        <f t="shared" si="25"/>
        <v>OK</v>
      </c>
    </row>
    <row r="119" spans="1:16" x14ac:dyDescent="0.25">
      <c r="A119" s="12" t="s">
        <v>177</v>
      </c>
      <c r="B119" s="9">
        <v>46269</v>
      </c>
      <c r="C119" s="12" t="s">
        <v>48</v>
      </c>
      <c r="D119" s="12" t="s">
        <v>49</v>
      </c>
      <c r="E119" s="12" t="s">
        <v>50</v>
      </c>
      <c r="F119" s="13">
        <f>SUMIF('Approved FX'!$A$5:$A$7,E119,'Approved FX'!$B$5:$B$7)</f>
        <v>1.1739999999999999</v>
      </c>
      <c r="G119" s="8">
        <f t="shared" si="27"/>
        <v>702500</v>
      </c>
      <c r="H119" s="8">
        <f>SUMIFS('Cash Flow Ledger'!$G$5:$G$135,'Cash Flow Ledger'!$A$5:$A$135,B119,'Cash Flow Ledger'!$B$5:$B$135,C119)</f>
        <v>15000</v>
      </c>
      <c r="I119" s="8">
        <f>IF(AND(C119="E004",B119=SUMIF('Scenario Assumptions'!$A$5:$A$7,A119,'Scenario Assumptions'!$B$5:$B$7)),SUMIF('Scenario Assumptions'!$A$5:$A$7,A119,'Scenario Assumptions'!$C$5:$C$7),0)</f>
        <v>0</v>
      </c>
      <c r="J119" s="8">
        <f>IF(AND(C119="E004",B119=SUMIF('Scenario Assumptions'!$A$5:$A$7,A119,'Scenario Assumptions'!$D$5:$D$7)), -SUMIF('Scenario Assumptions'!$A$5:$A$7,A119,'Scenario Assumptions'!$E$5:$E$7),0)</f>
        <v>0</v>
      </c>
      <c r="K119" s="5">
        <v>0</v>
      </c>
      <c r="L119" s="8">
        <f t="shared" si="22"/>
        <v>717500</v>
      </c>
      <c r="M119" s="8">
        <f>SUMIF(Entities!$A$5:$A$10,C119,Entities!$D$5:$D$10)</f>
        <v>400000</v>
      </c>
      <c r="N119" s="8">
        <f t="shared" si="23"/>
        <v>317500</v>
      </c>
      <c r="O119" s="8">
        <f t="shared" si="24"/>
        <v>842345</v>
      </c>
      <c r="P119" t="str">
        <f t="shared" si="25"/>
        <v>OK</v>
      </c>
    </row>
    <row r="120" spans="1:16" x14ac:dyDescent="0.25">
      <c r="A120" s="12" t="s">
        <v>177</v>
      </c>
      <c r="B120" s="9">
        <v>46270</v>
      </c>
      <c r="C120" s="12" t="s">
        <v>48</v>
      </c>
      <c r="D120" s="12" t="s">
        <v>49</v>
      </c>
      <c r="E120" s="12" t="s">
        <v>50</v>
      </c>
      <c r="F120" s="13">
        <f>SUMIF('Approved FX'!$A$5:$A$7,E120,'Approved FX'!$B$5:$B$7)</f>
        <v>1.1739999999999999</v>
      </c>
      <c r="G120" s="8">
        <f t="shared" si="27"/>
        <v>717500</v>
      </c>
      <c r="H120" s="8">
        <f>SUMIFS('Cash Flow Ledger'!$G$5:$G$135,'Cash Flow Ledger'!$A$5:$A$135,B120,'Cash Flow Ledger'!$B$5:$B$135,C120)</f>
        <v>-25000</v>
      </c>
      <c r="I120" s="8">
        <f>IF(AND(C120="E004",B120=SUMIF('Scenario Assumptions'!$A$5:$A$7,A120,'Scenario Assumptions'!$B$5:$B$7)),SUMIF('Scenario Assumptions'!$A$5:$A$7,A120,'Scenario Assumptions'!$C$5:$C$7),0)</f>
        <v>0</v>
      </c>
      <c r="J120" s="8">
        <f>IF(AND(C120="E004",B120=SUMIF('Scenario Assumptions'!$A$5:$A$7,A120,'Scenario Assumptions'!$D$5:$D$7)), -SUMIF('Scenario Assumptions'!$A$5:$A$7,A120,'Scenario Assumptions'!$E$5:$E$7),0)</f>
        <v>0</v>
      </c>
      <c r="K120" s="5">
        <v>0</v>
      </c>
      <c r="L120" s="8">
        <f t="shared" si="22"/>
        <v>692500</v>
      </c>
      <c r="M120" s="8">
        <f>SUMIF(Entities!$A$5:$A$10,C120,Entities!$D$5:$D$10)</f>
        <v>400000</v>
      </c>
      <c r="N120" s="8">
        <f t="shared" si="23"/>
        <v>292500</v>
      </c>
      <c r="O120" s="8">
        <f t="shared" si="24"/>
        <v>812995</v>
      </c>
      <c r="P120" t="str">
        <f t="shared" si="25"/>
        <v>OK</v>
      </c>
    </row>
    <row r="121" spans="1:16" x14ac:dyDescent="0.25">
      <c r="A121" s="12" t="s">
        <v>177</v>
      </c>
      <c r="B121" s="9">
        <v>46271</v>
      </c>
      <c r="C121" s="12" t="s">
        <v>48</v>
      </c>
      <c r="D121" s="12" t="s">
        <v>49</v>
      </c>
      <c r="E121" s="12" t="s">
        <v>50</v>
      </c>
      <c r="F121" s="13">
        <f>SUMIF('Approved FX'!$A$5:$A$7,E121,'Approved FX'!$B$5:$B$7)</f>
        <v>1.1739999999999999</v>
      </c>
      <c r="G121" s="8">
        <f t="shared" si="27"/>
        <v>692500</v>
      </c>
      <c r="H121" s="8">
        <f>SUMIFS('Cash Flow Ledger'!$G$5:$G$135,'Cash Flow Ledger'!$A$5:$A$135,B121,'Cash Flow Ledger'!$B$5:$B$135,C121)</f>
        <v>15000</v>
      </c>
      <c r="I121" s="8">
        <f>IF(AND(C121="E004",B121=SUMIF('Scenario Assumptions'!$A$5:$A$7,A121,'Scenario Assumptions'!$B$5:$B$7)),SUMIF('Scenario Assumptions'!$A$5:$A$7,A121,'Scenario Assumptions'!$C$5:$C$7),0)</f>
        <v>0</v>
      </c>
      <c r="J121" s="8">
        <f>IF(AND(C121="E004",B121=SUMIF('Scenario Assumptions'!$A$5:$A$7,A121,'Scenario Assumptions'!$D$5:$D$7)), -SUMIF('Scenario Assumptions'!$A$5:$A$7,A121,'Scenario Assumptions'!$E$5:$E$7),0)</f>
        <v>0</v>
      </c>
      <c r="K121" s="5">
        <v>0</v>
      </c>
      <c r="L121" s="8">
        <f t="shared" si="22"/>
        <v>707500</v>
      </c>
      <c r="M121" s="8">
        <f>SUMIF(Entities!$A$5:$A$10,C121,Entities!$D$5:$D$10)</f>
        <v>400000</v>
      </c>
      <c r="N121" s="8">
        <f t="shared" si="23"/>
        <v>307500</v>
      </c>
      <c r="O121" s="8">
        <f t="shared" si="24"/>
        <v>830605</v>
      </c>
      <c r="P121" t="str">
        <f t="shared" si="25"/>
        <v>OK</v>
      </c>
    </row>
    <row r="122" spans="1:16" x14ac:dyDescent="0.25">
      <c r="A122" s="12" t="s">
        <v>177</v>
      </c>
      <c r="B122" s="9">
        <v>46272</v>
      </c>
      <c r="C122" s="12" t="s">
        <v>48</v>
      </c>
      <c r="D122" s="12" t="s">
        <v>49</v>
      </c>
      <c r="E122" s="12" t="s">
        <v>50</v>
      </c>
      <c r="F122" s="13">
        <f>SUMIF('Approved FX'!$A$5:$A$7,E122,'Approved FX'!$B$5:$B$7)</f>
        <v>1.1739999999999999</v>
      </c>
      <c r="G122" s="8">
        <f t="shared" si="27"/>
        <v>707500</v>
      </c>
      <c r="H122" s="8">
        <f>SUMIFS('Cash Flow Ledger'!$G$5:$G$135,'Cash Flow Ledger'!$A$5:$A$135,B122,'Cash Flow Ledger'!$B$5:$B$135,C122)</f>
        <v>-25000</v>
      </c>
      <c r="I122" s="8">
        <f>IF(AND(C122="E004",B122=SUMIF('Scenario Assumptions'!$A$5:$A$7,A122,'Scenario Assumptions'!$B$5:$B$7)),SUMIF('Scenario Assumptions'!$A$5:$A$7,A122,'Scenario Assumptions'!$C$5:$C$7),0)</f>
        <v>0</v>
      </c>
      <c r="J122" s="8">
        <f>IF(AND(C122="E004",B122=SUMIF('Scenario Assumptions'!$A$5:$A$7,A122,'Scenario Assumptions'!$D$5:$D$7)), -SUMIF('Scenario Assumptions'!$A$5:$A$7,A122,'Scenario Assumptions'!$E$5:$E$7),0)</f>
        <v>0</v>
      </c>
      <c r="K122" s="5">
        <v>0</v>
      </c>
      <c r="L122" s="8">
        <f t="shared" si="22"/>
        <v>682500</v>
      </c>
      <c r="M122" s="8">
        <f>SUMIF(Entities!$A$5:$A$10,C122,Entities!$D$5:$D$10)</f>
        <v>400000</v>
      </c>
      <c r="N122" s="8">
        <f t="shared" si="23"/>
        <v>282500</v>
      </c>
      <c r="O122" s="8">
        <f t="shared" si="24"/>
        <v>801255</v>
      </c>
      <c r="P122" t="str">
        <f t="shared" si="25"/>
        <v>OK</v>
      </c>
    </row>
    <row r="123" spans="1:16" x14ac:dyDescent="0.25">
      <c r="A123" s="12" t="s">
        <v>177</v>
      </c>
      <c r="B123" s="9">
        <v>46273</v>
      </c>
      <c r="C123" s="12" t="s">
        <v>48</v>
      </c>
      <c r="D123" s="12" t="s">
        <v>49</v>
      </c>
      <c r="E123" s="12" t="s">
        <v>50</v>
      </c>
      <c r="F123" s="13">
        <f>SUMIF('Approved FX'!$A$5:$A$7,E123,'Approved FX'!$B$5:$B$7)</f>
        <v>1.1739999999999999</v>
      </c>
      <c r="G123" s="8">
        <f t="shared" si="27"/>
        <v>682500</v>
      </c>
      <c r="H123" s="8">
        <f>SUMIFS('Cash Flow Ledger'!$G$5:$G$135,'Cash Flow Ledger'!$A$5:$A$135,B123,'Cash Flow Ledger'!$B$5:$B$135,C123)</f>
        <v>15000</v>
      </c>
      <c r="I123" s="8">
        <f>IF(AND(C123="E004",B123=SUMIF('Scenario Assumptions'!$A$5:$A$7,A123,'Scenario Assumptions'!$B$5:$B$7)),SUMIF('Scenario Assumptions'!$A$5:$A$7,A123,'Scenario Assumptions'!$C$5:$C$7),0)</f>
        <v>0</v>
      </c>
      <c r="J123" s="8">
        <f>IF(AND(C123="E004",B123=SUMIF('Scenario Assumptions'!$A$5:$A$7,A123,'Scenario Assumptions'!$D$5:$D$7)), -SUMIF('Scenario Assumptions'!$A$5:$A$7,A123,'Scenario Assumptions'!$E$5:$E$7),0)</f>
        <v>0</v>
      </c>
      <c r="K123" s="5">
        <v>0</v>
      </c>
      <c r="L123" s="8">
        <f t="shared" si="22"/>
        <v>697500</v>
      </c>
      <c r="M123" s="8">
        <f>SUMIF(Entities!$A$5:$A$10,C123,Entities!$D$5:$D$10)</f>
        <v>400000</v>
      </c>
      <c r="N123" s="8">
        <f t="shared" si="23"/>
        <v>297500</v>
      </c>
      <c r="O123" s="8">
        <f t="shared" si="24"/>
        <v>818865</v>
      </c>
      <c r="P123" t="str">
        <f t="shared" si="25"/>
        <v>OK</v>
      </c>
    </row>
    <row r="124" spans="1:16" x14ac:dyDescent="0.25">
      <c r="A124" s="12" t="s">
        <v>177</v>
      </c>
      <c r="B124" s="9">
        <v>46274</v>
      </c>
      <c r="C124" s="12" t="s">
        <v>48</v>
      </c>
      <c r="D124" s="12" t="s">
        <v>49</v>
      </c>
      <c r="E124" s="12" t="s">
        <v>50</v>
      </c>
      <c r="F124" s="13">
        <f>SUMIF('Approved FX'!$A$5:$A$7,E124,'Approved FX'!$B$5:$B$7)</f>
        <v>1.1739999999999999</v>
      </c>
      <c r="G124" s="8">
        <f t="shared" si="27"/>
        <v>697500</v>
      </c>
      <c r="H124" s="8">
        <f>SUMIFS('Cash Flow Ledger'!$G$5:$G$135,'Cash Flow Ledger'!$A$5:$A$135,B124,'Cash Flow Ledger'!$B$5:$B$135,C124)</f>
        <v>-300000</v>
      </c>
      <c r="I124" s="8">
        <f>IF(AND(C124="E004",B124=SUMIF('Scenario Assumptions'!$A$5:$A$7,A124,'Scenario Assumptions'!$B$5:$B$7)),SUMIF('Scenario Assumptions'!$A$5:$A$7,A124,'Scenario Assumptions'!$C$5:$C$7),0)</f>
        <v>0</v>
      </c>
      <c r="J124" s="8">
        <f>IF(AND(C124="E004",B124=SUMIF('Scenario Assumptions'!$A$5:$A$7,A124,'Scenario Assumptions'!$D$5:$D$7)), -SUMIF('Scenario Assumptions'!$A$5:$A$7,A124,'Scenario Assumptions'!$E$5:$E$7),0)</f>
        <v>0</v>
      </c>
      <c r="K124" s="5">
        <v>0</v>
      </c>
      <c r="L124" s="8">
        <f t="shared" si="22"/>
        <v>397500</v>
      </c>
      <c r="M124" s="8">
        <f>SUMIF(Entities!$A$5:$A$10,C124,Entities!$D$5:$D$10)</f>
        <v>400000</v>
      </c>
      <c r="N124" s="8">
        <f t="shared" si="23"/>
        <v>-2500</v>
      </c>
      <c r="O124" s="8">
        <f t="shared" si="24"/>
        <v>466665</v>
      </c>
      <c r="P124" t="str">
        <f t="shared" si="25"/>
        <v>BELOW MINIMUM</v>
      </c>
    </row>
    <row r="125" spans="1:16" x14ac:dyDescent="0.25">
      <c r="A125" s="12" t="s">
        <v>180</v>
      </c>
      <c r="B125" s="9">
        <v>46265</v>
      </c>
      <c r="C125" s="12" t="s">
        <v>34</v>
      </c>
      <c r="D125" s="12" t="s">
        <v>35</v>
      </c>
      <c r="E125" s="12" t="s">
        <v>36</v>
      </c>
      <c r="F125" s="13">
        <f>SUMIF('Approved FX'!$A$5:$A$7,E125,'Approved FX'!$B$5:$B$7)</f>
        <v>1</v>
      </c>
      <c r="G125" s="8">
        <f>SUMIFS('Opening Balances'!$I$5:$I$14,'Opening Balances'!$B$5:$B$14,C125)</f>
        <v>2400000</v>
      </c>
      <c r="H125" s="8">
        <f>SUMIFS('Cash Flow Ledger'!$G$5:$G$135,'Cash Flow Ledger'!$A$5:$A$135,B125,'Cash Flow Ledger'!$B$5:$B$135,C125)</f>
        <v>0</v>
      </c>
      <c r="I125" s="8">
        <f>IF(AND(C125="E004",B125=SUMIF('Scenario Assumptions'!$A$5:$A$7,A125,'Scenario Assumptions'!$B$5:$B$7)),SUMIF('Scenario Assumptions'!$A$5:$A$7,A125,'Scenario Assumptions'!$C$5:$C$7),0)</f>
        <v>0</v>
      </c>
      <c r="J125" s="8">
        <f>IF(AND(C125="E004",B125=SUMIF('Scenario Assumptions'!$A$5:$A$7,A125,'Scenario Assumptions'!$D$5:$D$7)), -SUMIF('Scenario Assumptions'!$A$5:$A$7,A125,'Scenario Assumptions'!$E$5:$E$7),0)</f>
        <v>0</v>
      </c>
      <c r="K125" s="5">
        <v>0</v>
      </c>
      <c r="L125" s="8">
        <f t="shared" si="22"/>
        <v>2400000</v>
      </c>
      <c r="M125" s="8">
        <f>SUMIF(Entities!$A$5:$A$10,C125,Entities!$D$5:$D$10)</f>
        <v>750000</v>
      </c>
      <c r="N125" s="8">
        <f t="shared" si="23"/>
        <v>1650000</v>
      </c>
      <c r="O125" s="8">
        <f t="shared" si="24"/>
        <v>2400000</v>
      </c>
      <c r="P125" t="str">
        <f t="shared" si="25"/>
        <v>OK</v>
      </c>
    </row>
    <row r="126" spans="1:16" x14ac:dyDescent="0.25">
      <c r="A126" s="12" t="s">
        <v>180</v>
      </c>
      <c r="B126" s="9">
        <v>46266</v>
      </c>
      <c r="C126" s="12" t="s">
        <v>34</v>
      </c>
      <c r="D126" s="12" t="s">
        <v>35</v>
      </c>
      <c r="E126" s="12" t="s">
        <v>36</v>
      </c>
      <c r="F126" s="13">
        <f>SUMIF('Approved FX'!$A$5:$A$7,E126,'Approved FX'!$B$5:$B$7)</f>
        <v>1</v>
      </c>
      <c r="G126" s="8">
        <f t="shared" ref="G126:G134" si="28">L125</f>
        <v>2400000</v>
      </c>
      <c r="H126" s="8">
        <f>SUMIFS('Cash Flow Ledger'!$G$5:$G$135,'Cash Flow Ledger'!$A$5:$A$135,B126,'Cash Flow Ledger'!$B$5:$B$135,C126)</f>
        <v>0</v>
      </c>
      <c r="I126" s="8">
        <f>IF(AND(C126="E004",B126=SUMIF('Scenario Assumptions'!$A$5:$A$7,A126,'Scenario Assumptions'!$B$5:$B$7)),SUMIF('Scenario Assumptions'!$A$5:$A$7,A126,'Scenario Assumptions'!$C$5:$C$7),0)</f>
        <v>0</v>
      </c>
      <c r="J126" s="8">
        <f>IF(AND(C126="E004",B126=SUMIF('Scenario Assumptions'!$A$5:$A$7,A126,'Scenario Assumptions'!$D$5:$D$7)), -SUMIF('Scenario Assumptions'!$A$5:$A$7,A126,'Scenario Assumptions'!$E$5:$E$7),0)</f>
        <v>0</v>
      </c>
      <c r="K126" s="5">
        <v>0</v>
      </c>
      <c r="L126" s="8">
        <f t="shared" si="22"/>
        <v>2400000</v>
      </c>
      <c r="M126" s="8">
        <f>SUMIF(Entities!$A$5:$A$10,C126,Entities!$D$5:$D$10)</f>
        <v>750000</v>
      </c>
      <c r="N126" s="8">
        <f t="shared" si="23"/>
        <v>1650000</v>
      </c>
      <c r="O126" s="8">
        <f t="shared" si="24"/>
        <v>2400000</v>
      </c>
      <c r="P126" t="str">
        <f t="shared" si="25"/>
        <v>OK</v>
      </c>
    </row>
    <row r="127" spans="1:16" x14ac:dyDescent="0.25">
      <c r="A127" s="12" t="s">
        <v>180</v>
      </c>
      <c r="B127" s="9">
        <v>46267</v>
      </c>
      <c r="C127" s="12" t="s">
        <v>34</v>
      </c>
      <c r="D127" s="12" t="s">
        <v>35</v>
      </c>
      <c r="E127" s="12" t="s">
        <v>36</v>
      </c>
      <c r="F127" s="13">
        <f>SUMIF('Approved FX'!$A$5:$A$7,E127,'Approved FX'!$B$5:$B$7)</f>
        <v>1</v>
      </c>
      <c r="G127" s="8">
        <f t="shared" si="28"/>
        <v>2400000</v>
      </c>
      <c r="H127" s="8">
        <f>SUMIFS('Cash Flow Ledger'!$G$5:$G$135,'Cash Flow Ledger'!$A$5:$A$135,B127,'Cash Flow Ledger'!$B$5:$B$135,C127)</f>
        <v>170000</v>
      </c>
      <c r="I127" s="8">
        <f>IF(AND(C127="E004",B127=SUMIF('Scenario Assumptions'!$A$5:$A$7,A127,'Scenario Assumptions'!$B$5:$B$7)),SUMIF('Scenario Assumptions'!$A$5:$A$7,A127,'Scenario Assumptions'!$C$5:$C$7),0)</f>
        <v>0</v>
      </c>
      <c r="J127" s="8">
        <f>IF(AND(C127="E004",B127=SUMIF('Scenario Assumptions'!$A$5:$A$7,A127,'Scenario Assumptions'!$D$5:$D$7)), -SUMIF('Scenario Assumptions'!$A$5:$A$7,A127,'Scenario Assumptions'!$E$5:$E$7),0)</f>
        <v>0</v>
      </c>
      <c r="K127" s="5">
        <v>0</v>
      </c>
      <c r="L127" s="8">
        <f t="shared" si="22"/>
        <v>2570000</v>
      </c>
      <c r="M127" s="8">
        <f>SUMIF(Entities!$A$5:$A$10,C127,Entities!$D$5:$D$10)</f>
        <v>750000</v>
      </c>
      <c r="N127" s="8">
        <f t="shared" si="23"/>
        <v>1820000</v>
      </c>
      <c r="O127" s="8">
        <f t="shared" si="24"/>
        <v>2570000</v>
      </c>
      <c r="P127" t="str">
        <f t="shared" si="25"/>
        <v>OK</v>
      </c>
    </row>
    <row r="128" spans="1:16" x14ac:dyDescent="0.25">
      <c r="A128" s="12" t="s">
        <v>180</v>
      </c>
      <c r="B128" s="9">
        <v>46268</v>
      </c>
      <c r="C128" s="12" t="s">
        <v>34</v>
      </c>
      <c r="D128" s="12" t="s">
        <v>35</v>
      </c>
      <c r="E128" s="12" t="s">
        <v>36</v>
      </c>
      <c r="F128" s="13">
        <f>SUMIF('Approved FX'!$A$5:$A$7,E128,'Approved FX'!$B$5:$B$7)</f>
        <v>1</v>
      </c>
      <c r="G128" s="8">
        <f t="shared" si="28"/>
        <v>2570000</v>
      </c>
      <c r="H128" s="8">
        <f>SUMIFS('Cash Flow Ledger'!$G$5:$G$135,'Cash Flow Ledger'!$A$5:$A$135,B128,'Cash Flow Ledger'!$B$5:$B$135,C128)</f>
        <v>0</v>
      </c>
      <c r="I128" s="8">
        <f>IF(AND(C128="E004",B128=SUMIF('Scenario Assumptions'!$A$5:$A$7,A128,'Scenario Assumptions'!$B$5:$B$7)),SUMIF('Scenario Assumptions'!$A$5:$A$7,A128,'Scenario Assumptions'!$C$5:$C$7),0)</f>
        <v>0</v>
      </c>
      <c r="J128" s="8">
        <f>IF(AND(C128="E004",B128=SUMIF('Scenario Assumptions'!$A$5:$A$7,A128,'Scenario Assumptions'!$D$5:$D$7)), -SUMIF('Scenario Assumptions'!$A$5:$A$7,A128,'Scenario Assumptions'!$E$5:$E$7),0)</f>
        <v>0</v>
      </c>
      <c r="K128" s="5">
        <v>0</v>
      </c>
      <c r="L128" s="8">
        <f t="shared" si="22"/>
        <v>2570000</v>
      </c>
      <c r="M128" s="8">
        <f>SUMIF(Entities!$A$5:$A$10,C128,Entities!$D$5:$D$10)</f>
        <v>750000</v>
      </c>
      <c r="N128" s="8">
        <f t="shared" si="23"/>
        <v>1820000</v>
      </c>
      <c r="O128" s="8">
        <f t="shared" si="24"/>
        <v>2570000</v>
      </c>
      <c r="P128" t="str">
        <f t="shared" si="25"/>
        <v>OK</v>
      </c>
    </row>
    <row r="129" spans="1:16" x14ac:dyDescent="0.25">
      <c r="A129" s="12" t="s">
        <v>180</v>
      </c>
      <c r="B129" s="9">
        <v>46269</v>
      </c>
      <c r="C129" s="12" t="s">
        <v>34</v>
      </c>
      <c r="D129" s="12" t="s">
        <v>35</v>
      </c>
      <c r="E129" s="12" t="s">
        <v>36</v>
      </c>
      <c r="F129" s="13">
        <f>SUMIF('Approved FX'!$A$5:$A$7,E129,'Approved FX'!$B$5:$B$7)</f>
        <v>1</v>
      </c>
      <c r="G129" s="8">
        <f t="shared" si="28"/>
        <v>2570000</v>
      </c>
      <c r="H129" s="8">
        <f>SUMIFS('Cash Flow Ledger'!$G$5:$G$135,'Cash Flow Ledger'!$A$5:$A$135,B129,'Cash Flow Ledger'!$B$5:$B$135,C129)</f>
        <v>-450000</v>
      </c>
      <c r="I129" s="8">
        <f>IF(AND(C129="E004",B129=SUMIF('Scenario Assumptions'!$A$5:$A$7,A129,'Scenario Assumptions'!$B$5:$B$7)),SUMIF('Scenario Assumptions'!$A$5:$A$7,A129,'Scenario Assumptions'!$C$5:$C$7),0)</f>
        <v>0</v>
      </c>
      <c r="J129" s="8">
        <f>IF(AND(C129="E004",B129=SUMIF('Scenario Assumptions'!$A$5:$A$7,A129,'Scenario Assumptions'!$D$5:$D$7)), -SUMIF('Scenario Assumptions'!$A$5:$A$7,A129,'Scenario Assumptions'!$E$5:$E$7),0)</f>
        <v>0</v>
      </c>
      <c r="K129" s="5">
        <v>0</v>
      </c>
      <c r="L129" s="8">
        <f t="shared" si="22"/>
        <v>2120000</v>
      </c>
      <c r="M129" s="8">
        <f>SUMIF(Entities!$A$5:$A$10,C129,Entities!$D$5:$D$10)</f>
        <v>750000</v>
      </c>
      <c r="N129" s="8">
        <f t="shared" si="23"/>
        <v>1370000</v>
      </c>
      <c r="O129" s="8">
        <f t="shared" si="24"/>
        <v>2120000</v>
      </c>
      <c r="P129" t="str">
        <f t="shared" si="25"/>
        <v>OK</v>
      </c>
    </row>
    <row r="130" spans="1:16" x14ac:dyDescent="0.25">
      <c r="A130" s="12" t="s">
        <v>180</v>
      </c>
      <c r="B130" s="9">
        <v>46270</v>
      </c>
      <c r="C130" s="12" t="s">
        <v>34</v>
      </c>
      <c r="D130" s="12" t="s">
        <v>35</v>
      </c>
      <c r="E130" s="12" t="s">
        <v>36</v>
      </c>
      <c r="F130" s="13">
        <f>SUMIF('Approved FX'!$A$5:$A$7,E130,'Approved FX'!$B$5:$B$7)</f>
        <v>1</v>
      </c>
      <c r="G130" s="8">
        <f t="shared" si="28"/>
        <v>2120000</v>
      </c>
      <c r="H130" s="8">
        <f>SUMIFS('Cash Flow Ledger'!$G$5:$G$135,'Cash Flow Ledger'!$A$5:$A$135,B130,'Cash Flow Ledger'!$B$5:$B$135,C130)</f>
        <v>0</v>
      </c>
      <c r="I130" s="8">
        <f>IF(AND(C130="E004",B130=SUMIF('Scenario Assumptions'!$A$5:$A$7,A130,'Scenario Assumptions'!$B$5:$B$7)),SUMIF('Scenario Assumptions'!$A$5:$A$7,A130,'Scenario Assumptions'!$C$5:$C$7),0)</f>
        <v>0</v>
      </c>
      <c r="J130" s="8">
        <f>IF(AND(C130="E004",B130=SUMIF('Scenario Assumptions'!$A$5:$A$7,A130,'Scenario Assumptions'!$D$5:$D$7)), -SUMIF('Scenario Assumptions'!$A$5:$A$7,A130,'Scenario Assumptions'!$E$5:$E$7),0)</f>
        <v>0</v>
      </c>
      <c r="K130" s="5">
        <v>0</v>
      </c>
      <c r="L130" s="8">
        <f t="shared" si="22"/>
        <v>2120000</v>
      </c>
      <c r="M130" s="8">
        <f>SUMIF(Entities!$A$5:$A$10,C130,Entities!$D$5:$D$10)</f>
        <v>750000</v>
      </c>
      <c r="N130" s="8">
        <f t="shared" si="23"/>
        <v>1370000</v>
      </c>
      <c r="O130" s="8">
        <f t="shared" si="24"/>
        <v>2120000</v>
      </c>
      <c r="P130" t="str">
        <f t="shared" si="25"/>
        <v>OK</v>
      </c>
    </row>
    <row r="131" spans="1:16" x14ac:dyDescent="0.25">
      <c r="A131" s="12" t="s">
        <v>180</v>
      </c>
      <c r="B131" s="9">
        <v>46271</v>
      </c>
      <c r="C131" s="12" t="s">
        <v>34</v>
      </c>
      <c r="D131" s="12" t="s">
        <v>35</v>
      </c>
      <c r="E131" s="12" t="s">
        <v>36</v>
      </c>
      <c r="F131" s="13">
        <f>SUMIF('Approved FX'!$A$5:$A$7,E131,'Approved FX'!$B$5:$B$7)</f>
        <v>1</v>
      </c>
      <c r="G131" s="8">
        <f t="shared" si="28"/>
        <v>2120000</v>
      </c>
      <c r="H131" s="8">
        <f>SUMIFS('Cash Flow Ledger'!$G$5:$G$135,'Cash Flow Ledger'!$A$5:$A$135,B131,'Cash Flow Ledger'!$B$5:$B$135,C131)</f>
        <v>0</v>
      </c>
      <c r="I131" s="8">
        <f>IF(AND(C131="E004",B131=SUMIF('Scenario Assumptions'!$A$5:$A$7,A131,'Scenario Assumptions'!$B$5:$B$7)),SUMIF('Scenario Assumptions'!$A$5:$A$7,A131,'Scenario Assumptions'!$C$5:$C$7),0)</f>
        <v>0</v>
      </c>
      <c r="J131" s="8">
        <f>IF(AND(C131="E004",B131=SUMIF('Scenario Assumptions'!$A$5:$A$7,A131,'Scenario Assumptions'!$D$5:$D$7)), -SUMIF('Scenario Assumptions'!$A$5:$A$7,A131,'Scenario Assumptions'!$E$5:$E$7),0)</f>
        <v>0</v>
      </c>
      <c r="K131" s="5">
        <v>0</v>
      </c>
      <c r="L131" s="8">
        <f t="shared" si="22"/>
        <v>2120000</v>
      </c>
      <c r="M131" s="8">
        <f>SUMIF(Entities!$A$5:$A$10,C131,Entities!$D$5:$D$10)</f>
        <v>750000</v>
      </c>
      <c r="N131" s="8">
        <f t="shared" si="23"/>
        <v>1370000</v>
      </c>
      <c r="O131" s="8">
        <f t="shared" si="24"/>
        <v>2120000</v>
      </c>
      <c r="P131" t="str">
        <f t="shared" si="25"/>
        <v>OK</v>
      </c>
    </row>
    <row r="132" spans="1:16" x14ac:dyDescent="0.25">
      <c r="A132" s="12" t="s">
        <v>180</v>
      </c>
      <c r="B132" s="9">
        <v>46272</v>
      </c>
      <c r="C132" s="12" t="s">
        <v>34</v>
      </c>
      <c r="D132" s="12" t="s">
        <v>35</v>
      </c>
      <c r="E132" s="12" t="s">
        <v>36</v>
      </c>
      <c r="F132" s="13">
        <f>SUMIF('Approved FX'!$A$5:$A$7,E132,'Approved FX'!$B$5:$B$7)</f>
        <v>1</v>
      </c>
      <c r="G132" s="8">
        <f t="shared" si="28"/>
        <v>2120000</v>
      </c>
      <c r="H132" s="8">
        <f>SUMIFS('Cash Flow Ledger'!$G$5:$G$135,'Cash Flow Ledger'!$A$5:$A$135,B132,'Cash Flow Ledger'!$B$5:$B$135,C132)</f>
        <v>170000</v>
      </c>
      <c r="I132" s="8">
        <f>IF(AND(C132="E004",B132=SUMIF('Scenario Assumptions'!$A$5:$A$7,A132,'Scenario Assumptions'!$B$5:$B$7)),SUMIF('Scenario Assumptions'!$A$5:$A$7,A132,'Scenario Assumptions'!$C$5:$C$7),0)</f>
        <v>0</v>
      </c>
      <c r="J132" s="8">
        <f>IF(AND(C132="E004",B132=SUMIF('Scenario Assumptions'!$A$5:$A$7,A132,'Scenario Assumptions'!$D$5:$D$7)), -SUMIF('Scenario Assumptions'!$A$5:$A$7,A132,'Scenario Assumptions'!$E$5:$E$7),0)</f>
        <v>0</v>
      </c>
      <c r="K132" s="5">
        <v>0</v>
      </c>
      <c r="L132" s="8">
        <f t="shared" si="22"/>
        <v>2290000</v>
      </c>
      <c r="M132" s="8">
        <f>SUMIF(Entities!$A$5:$A$10,C132,Entities!$D$5:$D$10)</f>
        <v>750000</v>
      </c>
      <c r="N132" s="8">
        <f t="shared" si="23"/>
        <v>1540000</v>
      </c>
      <c r="O132" s="8">
        <f t="shared" si="24"/>
        <v>2290000</v>
      </c>
      <c r="P132" t="str">
        <f t="shared" si="25"/>
        <v>OK</v>
      </c>
    </row>
    <row r="133" spans="1:16" x14ac:dyDescent="0.25">
      <c r="A133" s="12" t="s">
        <v>180</v>
      </c>
      <c r="B133" s="9">
        <v>46273</v>
      </c>
      <c r="C133" s="12" t="s">
        <v>34</v>
      </c>
      <c r="D133" s="12" t="s">
        <v>35</v>
      </c>
      <c r="E133" s="12" t="s">
        <v>36</v>
      </c>
      <c r="F133" s="13">
        <f>SUMIF('Approved FX'!$A$5:$A$7,E133,'Approved FX'!$B$5:$B$7)</f>
        <v>1</v>
      </c>
      <c r="G133" s="8">
        <f t="shared" si="28"/>
        <v>2290000</v>
      </c>
      <c r="H133" s="8">
        <f>SUMIFS('Cash Flow Ledger'!$G$5:$G$135,'Cash Flow Ledger'!$A$5:$A$135,B133,'Cash Flow Ledger'!$B$5:$B$135,C133)</f>
        <v>0</v>
      </c>
      <c r="I133" s="8">
        <f>IF(AND(C133="E004",B133=SUMIF('Scenario Assumptions'!$A$5:$A$7,A133,'Scenario Assumptions'!$B$5:$B$7)),SUMIF('Scenario Assumptions'!$A$5:$A$7,A133,'Scenario Assumptions'!$C$5:$C$7),0)</f>
        <v>0</v>
      </c>
      <c r="J133" s="8">
        <f>IF(AND(C133="E004",B133=SUMIF('Scenario Assumptions'!$A$5:$A$7,A133,'Scenario Assumptions'!$D$5:$D$7)), -SUMIF('Scenario Assumptions'!$A$5:$A$7,A133,'Scenario Assumptions'!$E$5:$E$7),0)</f>
        <v>0</v>
      </c>
      <c r="K133" s="5">
        <v>0</v>
      </c>
      <c r="L133" s="8">
        <f t="shared" ref="L133:L164" si="29">G133+H133+I133+J133+K133</f>
        <v>2290000</v>
      </c>
      <c r="M133" s="8">
        <f>SUMIF(Entities!$A$5:$A$10,C133,Entities!$D$5:$D$10)</f>
        <v>750000</v>
      </c>
      <c r="N133" s="8">
        <f t="shared" ref="N133:N164" si="30">L133-M133</f>
        <v>1540000</v>
      </c>
      <c r="O133" s="8">
        <f t="shared" ref="O133:O164" si="31">L133*F133</f>
        <v>2290000</v>
      </c>
      <c r="P133" t="str">
        <f t="shared" ref="P133:P164" si="32">IF(L133&lt;0,"NEGATIVE",IF(L133&lt;M133,"BELOW MINIMUM","OK"))</f>
        <v>OK</v>
      </c>
    </row>
    <row r="134" spans="1:16" x14ac:dyDescent="0.25">
      <c r="A134" s="12" t="s">
        <v>180</v>
      </c>
      <c r="B134" s="9">
        <v>46274</v>
      </c>
      <c r="C134" s="12" t="s">
        <v>34</v>
      </c>
      <c r="D134" s="12" t="s">
        <v>35</v>
      </c>
      <c r="E134" s="12" t="s">
        <v>36</v>
      </c>
      <c r="F134" s="13">
        <f>SUMIF('Approved FX'!$A$5:$A$7,E134,'Approved FX'!$B$5:$B$7)</f>
        <v>1</v>
      </c>
      <c r="G134" s="8">
        <f t="shared" si="28"/>
        <v>2290000</v>
      </c>
      <c r="H134" s="8">
        <f>SUMIFS('Cash Flow Ledger'!$G$5:$G$135,'Cash Flow Ledger'!$A$5:$A$135,B134,'Cash Flow Ledger'!$B$5:$B$135,C134)</f>
        <v>0</v>
      </c>
      <c r="I134" s="8">
        <f>IF(AND(C134="E004",B134=SUMIF('Scenario Assumptions'!$A$5:$A$7,A134,'Scenario Assumptions'!$B$5:$B$7)),SUMIF('Scenario Assumptions'!$A$5:$A$7,A134,'Scenario Assumptions'!$C$5:$C$7),0)</f>
        <v>0</v>
      </c>
      <c r="J134" s="8">
        <f>IF(AND(C134="E004",B134=SUMIF('Scenario Assumptions'!$A$5:$A$7,A134,'Scenario Assumptions'!$D$5:$D$7)), -SUMIF('Scenario Assumptions'!$A$5:$A$7,A134,'Scenario Assumptions'!$E$5:$E$7),0)</f>
        <v>0</v>
      </c>
      <c r="K134" s="5">
        <v>0</v>
      </c>
      <c r="L134" s="8">
        <f t="shared" si="29"/>
        <v>2290000</v>
      </c>
      <c r="M134" s="8">
        <f>SUMIF(Entities!$A$5:$A$10,C134,Entities!$D$5:$D$10)</f>
        <v>750000</v>
      </c>
      <c r="N134" s="8">
        <f t="shared" si="30"/>
        <v>1540000</v>
      </c>
      <c r="O134" s="8">
        <f t="shared" si="31"/>
        <v>2290000</v>
      </c>
      <c r="P134" t="str">
        <f t="shared" si="32"/>
        <v>OK</v>
      </c>
    </row>
    <row r="135" spans="1:16" x14ac:dyDescent="0.25">
      <c r="A135" s="12" t="s">
        <v>180</v>
      </c>
      <c r="B135" s="9">
        <v>46265</v>
      </c>
      <c r="C135" s="12" t="s">
        <v>38</v>
      </c>
      <c r="D135" s="12" t="s">
        <v>39</v>
      </c>
      <c r="E135" s="12" t="s">
        <v>36</v>
      </c>
      <c r="F135" s="13">
        <f>SUMIF('Approved FX'!$A$5:$A$7,E135,'Approved FX'!$B$5:$B$7)</f>
        <v>1</v>
      </c>
      <c r="G135" s="8">
        <f>SUMIFS('Opening Balances'!$I$5:$I$14,'Opening Balances'!$B$5:$B$14,C135)</f>
        <v>1581000</v>
      </c>
      <c r="H135" s="8">
        <f>SUMIFS('Cash Flow Ledger'!$G$5:$G$135,'Cash Flow Ledger'!$A$5:$A$135,B135,'Cash Flow Ledger'!$B$5:$B$135,C135)</f>
        <v>40000</v>
      </c>
      <c r="I135" s="8">
        <f>IF(AND(C135="E004",B135=SUMIF('Scenario Assumptions'!$A$5:$A$7,A135,'Scenario Assumptions'!$B$5:$B$7)),SUMIF('Scenario Assumptions'!$A$5:$A$7,A135,'Scenario Assumptions'!$C$5:$C$7),0)</f>
        <v>0</v>
      </c>
      <c r="J135" s="8">
        <f>IF(AND(C135="E004",B135=SUMIF('Scenario Assumptions'!$A$5:$A$7,A135,'Scenario Assumptions'!$D$5:$D$7)), -SUMIF('Scenario Assumptions'!$A$5:$A$7,A135,'Scenario Assumptions'!$E$5:$E$7),0)</f>
        <v>0</v>
      </c>
      <c r="K135" s="5">
        <v>0</v>
      </c>
      <c r="L135" s="8">
        <f t="shared" si="29"/>
        <v>1621000</v>
      </c>
      <c r="M135" s="8">
        <f>SUMIF(Entities!$A$5:$A$10,C135,Entities!$D$5:$D$10)</f>
        <v>500000</v>
      </c>
      <c r="N135" s="8">
        <f t="shared" si="30"/>
        <v>1121000</v>
      </c>
      <c r="O135" s="8">
        <f t="shared" si="31"/>
        <v>1621000</v>
      </c>
      <c r="P135" t="str">
        <f t="shared" si="32"/>
        <v>OK</v>
      </c>
    </row>
    <row r="136" spans="1:16" x14ac:dyDescent="0.25">
      <c r="A136" s="12" t="s">
        <v>180</v>
      </c>
      <c r="B136" s="9">
        <v>46266</v>
      </c>
      <c r="C136" s="12" t="s">
        <v>38</v>
      </c>
      <c r="D136" s="12" t="s">
        <v>39</v>
      </c>
      <c r="E136" s="12" t="s">
        <v>36</v>
      </c>
      <c r="F136" s="13">
        <f>SUMIF('Approved FX'!$A$5:$A$7,E136,'Approved FX'!$B$5:$B$7)</f>
        <v>1</v>
      </c>
      <c r="G136" s="8">
        <f t="shared" ref="G136:G144" si="33">L135</f>
        <v>1621000</v>
      </c>
      <c r="H136" s="8">
        <f>SUMIFS('Cash Flow Ledger'!$G$5:$G$135,'Cash Flow Ledger'!$A$5:$A$135,B136,'Cash Flow Ledger'!$B$5:$B$135,C136)</f>
        <v>30000</v>
      </c>
      <c r="I136" s="8">
        <f>IF(AND(C136="E004",B136=SUMIF('Scenario Assumptions'!$A$5:$A$7,A136,'Scenario Assumptions'!$B$5:$B$7)),SUMIF('Scenario Assumptions'!$A$5:$A$7,A136,'Scenario Assumptions'!$C$5:$C$7),0)</f>
        <v>0</v>
      </c>
      <c r="J136" s="8">
        <f>IF(AND(C136="E004",B136=SUMIF('Scenario Assumptions'!$A$5:$A$7,A136,'Scenario Assumptions'!$D$5:$D$7)), -SUMIF('Scenario Assumptions'!$A$5:$A$7,A136,'Scenario Assumptions'!$E$5:$E$7),0)</f>
        <v>0</v>
      </c>
      <c r="K136" s="5">
        <v>0</v>
      </c>
      <c r="L136" s="8">
        <f t="shared" si="29"/>
        <v>1651000</v>
      </c>
      <c r="M136" s="8">
        <f>SUMIF(Entities!$A$5:$A$10,C136,Entities!$D$5:$D$10)</f>
        <v>500000</v>
      </c>
      <c r="N136" s="8">
        <f t="shared" si="30"/>
        <v>1151000</v>
      </c>
      <c r="O136" s="8">
        <f t="shared" si="31"/>
        <v>1651000</v>
      </c>
      <c r="P136" t="str">
        <f t="shared" si="32"/>
        <v>OK</v>
      </c>
    </row>
    <row r="137" spans="1:16" x14ac:dyDescent="0.25">
      <c r="A137" s="12" t="s">
        <v>180</v>
      </c>
      <c r="B137" s="9">
        <v>46267</v>
      </c>
      <c r="C137" s="12" t="s">
        <v>38</v>
      </c>
      <c r="D137" s="12" t="s">
        <v>39</v>
      </c>
      <c r="E137" s="12" t="s">
        <v>36</v>
      </c>
      <c r="F137" s="13">
        <f>SUMIF('Approved FX'!$A$5:$A$7,E137,'Approved FX'!$B$5:$B$7)</f>
        <v>1</v>
      </c>
      <c r="G137" s="8">
        <f t="shared" si="33"/>
        <v>1651000</v>
      </c>
      <c r="H137" s="8">
        <f>SUMIFS('Cash Flow Ledger'!$G$5:$G$135,'Cash Flow Ledger'!$A$5:$A$135,B137,'Cash Flow Ledger'!$B$5:$B$135,C137)</f>
        <v>-30000</v>
      </c>
      <c r="I137" s="8">
        <f>IF(AND(C137="E004",B137=SUMIF('Scenario Assumptions'!$A$5:$A$7,A137,'Scenario Assumptions'!$B$5:$B$7)),SUMIF('Scenario Assumptions'!$A$5:$A$7,A137,'Scenario Assumptions'!$C$5:$C$7),0)</f>
        <v>0</v>
      </c>
      <c r="J137" s="8">
        <f>IF(AND(C137="E004",B137=SUMIF('Scenario Assumptions'!$A$5:$A$7,A137,'Scenario Assumptions'!$D$5:$D$7)), -SUMIF('Scenario Assumptions'!$A$5:$A$7,A137,'Scenario Assumptions'!$E$5:$E$7),0)</f>
        <v>0</v>
      </c>
      <c r="K137" s="5">
        <v>0</v>
      </c>
      <c r="L137" s="8">
        <f t="shared" si="29"/>
        <v>1621000</v>
      </c>
      <c r="M137" s="8">
        <f>SUMIF(Entities!$A$5:$A$10,C137,Entities!$D$5:$D$10)</f>
        <v>500000</v>
      </c>
      <c r="N137" s="8">
        <f t="shared" si="30"/>
        <v>1121000</v>
      </c>
      <c r="O137" s="8">
        <f t="shared" si="31"/>
        <v>1621000</v>
      </c>
      <c r="P137" t="str">
        <f t="shared" si="32"/>
        <v>OK</v>
      </c>
    </row>
    <row r="138" spans="1:16" x14ac:dyDescent="0.25">
      <c r="A138" s="12" t="s">
        <v>180</v>
      </c>
      <c r="B138" s="9">
        <v>46268</v>
      </c>
      <c r="C138" s="12" t="s">
        <v>38</v>
      </c>
      <c r="D138" s="12" t="s">
        <v>39</v>
      </c>
      <c r="E138" s="12" t="s">
        <v>36</v>
      </c>
      <c r="F138" s="13">
        <f>SUMIF('Approved FX'!$A$5:$A$7,E138,'Approved FX'!$B$5:$B$7)</f>
        <v>1</v>
      </c>
      <c r="G138" s="8">
        <f t="shared" si="33"/>
        <v>1621000</v>
      </c>
      <c r="H138" s="8">
        <f>SUMIFS('Cash Flow Ledger'!$G$5:$G$135,'Cash Flow Ledger'!$A$5:$A$135,B138,'Cash Flow Ledger'!$B$5:$B$135,C138)</f>
        <v>15000</v>
      </c>
      <c r="I138" s="8">
        <f>IF(AND(C138="E004",B138=SUMIF('Scenario Assumptions'!$A$5:$A$7,A138,'Scenario Assumptions'!$B$5:$B$7)),SUMIF('Scenario Assumptions'!$A$5:$A$7,A138,'Scenario Assumptions'!$C$5:$C$7),0)</f>
        <v>0</v>
      </c>
      <c r="J138" s="8">
        <f>IF(AND(C138="E004",B138=SUMIF('Scenario Assumptions'!$A$5:$A$7,A138,'Scenario Assumptions'!$D$5:$D$7)), -SUMIF('Scenario Assumptions'!$A$5:$A$7,A138,'Scenario Assumptions'!$E$5:$E$7),0)</f>
        <v>0</v>
      </c>
      <c r="K138" s="5">
        <v>0</v>
      </c>
      <c r="L138" s="8">
        <f t="shared" si="29"/>
        <v>1636000</v>
      </c>
      <c r="M138" s="8">
        <f>SUMIF(Entities!$A$5:$A$10,C138,Entities!$D$5:$D$10)</f>
        <v>500000</v>
      </c>
      <c r="N138" s="8">
        <f t="shared" si="30"/>
        <v>1136000</v>
      </c>
      <c r="O138" s="8">
        <f t="shared" si="31"/>
        <v>1636000</v>
      </c>
      <c r="P138" t="str">
        <f t="shared" si="32"/>
        <v>OK</v>
      </c>
    </row>
    <row r="139" spans="1:16" x14ac:dyDescent="0.25">
      <c r="A139" s="12" t="s">
        <v>180</v>
      </c>
      <c r="B139" s="9">
        <v>46269</v>
      </c>
      <c r="C139" s="12" t="s">
        <v>38</v>
      </c>
      <c r="D139" s="12" t="s">
        <v>39</v>
      </c>
      <c r="E139" s="12" t="s">
        <v>36</v>
      </c>
      <c r="F139" s="13">
        <f>SUMIF('Approved FX'!$A$5:$A$7,E139,'Approved FX'!$B$5:$B$7)</f>
        <v>1</v>
      </c>
      <c r="G139" s="8">
        <f t="shared" si="33"/>
        <v>1636000</v>
      </c>
      <c r="H139" s="8">
        <f>SUMIFS('Cash Flow Ledger'!$G$5:$G$135,'Cash Flow Ledger'!$A$5:$A$135,B139,'Cash Flow Ledger'!$B$5:$B$135,C139)</f>
        <v>40000</v>
      </c>
      <c r="I139" s="8">
        <f>IF(AND(C139="E004",B139=SUMIF('Scenario Assumptions'!$A$5:$A$7,A139,'Scenario Assumptions'!$B$5:$B$7)),SUMIF('Scenario Assumptions'!$A$5:$A$7,A139,'Scenario Assumptions'!$C$5:$C$7),0)</f>
        <v>0</v>
      </c>
      <c r="J139" s="8">
        <f>IF(AND(C139="E004",B139=SUMIF('Scenario Assumptions'!$A$5:$A$7,A139,'Scenario Assumptions'!$D$5:$D$7)), -SUMIF('Scenario Assumptions'!$A$5:$A$7,A139,'Scenario Assumptions'!$E$5:$E$7),0)</f>
        <v>0</v>
      </c>
      <c r="K139" s="5">
        <v>0</v>
      </c>
      <c r="L139" s="8">
        <f t="shared" si="29"/>
        <v>1676000</v>
      </c>
      <c r="M139" s="8">
        <f>SUMIF(Entities!$A$5:$A$10,C139,Entities!$D$5:$D$10)</f>
        <v>500000</v>
      </c>
      <c r="N139" s="8">
        <f t="shared" si="30"/>
        <v>1176000</v>
      </c>
      <c r="O139" s="8">
        <f t="shared" si="31"/>
        <v>1676000</v>
      </c>
      <c r="P139" t="str">
        <f t="shared" si="32"/>
        <v>OK</v>
      </c>
    </row>
    <row r="140" spans="1:16" x14ac:dyDescent="0.25">
      <c r="A140" s="12" t="s">
        <v>180</v>
      </c>
      <c r="B140" s="9">
        <v>46270</v>
      </c>
      <c r="C140" s="12" t="s">
        <v>38</v>
      </c>
      <c r="D140" s="12" t="s">
        <v>39</v>
      </c>
      <c r="E140" s="12" t="s">
        <v>36</v>
      </c>
      <c r="F140" s="13">
        <f>SUMIF('Approved FX'!$A$5:$A$7,E140,'Approved FX'!$B$5:$B$7)</f>
        <v>1</v>
      </c>
      <c r="G140" s="8">
        <f t="shared" si="33"/>
        <v>1676000</v>
      </c>
      <c r="H140" s="8">
        <f>SUMIFS('Cash Flow Ledger'!$G$5:$G$135,'Cash Flow Ledger'!$A$5:$A$135,B140,'Cash Flow Ledger'!$B$5:$B$135,C140)</f>
        <v>0</v>
      </c>
      <c r="I140" s="8">
        <f>IF(AND(C140="E004",B140=SUMIF('Scenario Assumptions'!$A$5:$A$7,A140,'Scenario Assumptions'!$B$5:$B$7)),SUMIF('Scenario Assumptions'!$A$5:$A$7,A140,'Scenario Assumptions'!$C$5:$C$7),0)</f>
        <v>0</v>
      </c>
      <c r="J140" s="8">
        <f>IF(AND(C140="E004",B140=SUMIF('Scenario Assumptions'!$A$5:$A$7,A140,'Scenario Assumptions'!$D$5:$D$7)), -SUMIF('Scenario Assumptions'!$A$5:$A$7,A140,'Scenario Assumptions'!$E$5:$E$7),0)</f>
        <v>0</v>
      </c>
      <c r="K140" s="5">
        <v>0</v>
      </c>
      <c r="L140" s="8">
        <f t="shared" si="29"/>
        <v>1676000</v>
      </c>
      <c r="M140" s="8">
        <f>SUMIF(Entities!$A$5:$A$10,C140,Entities!$D$5:$D$10)</f>
        <v>500000</v>
      </c>
      <c r="N140" s="8">
        <f t="shared" si="30"/>
        <v>1176000</v>
      </c>
      <c r="O140" s="8">
        <f t="shared" si="31"/>
        <v>1676000</v>
      </c>
      <c r="P140" t="str">
        <f t="shared" si="32"/>
        <v>OK</v>
      </c>
    </row>
    <row r="141" spans="1:16" x14ac:dyDescent="0.25">
      <c r="A141" s="12" t="s">
        <v>180</v>
      </c>
      <c r="B141" s="9">
        <v>46271</v>
      </c>
      <c r="C141" s="12" t="s">
        <v>38</v>
      </c>
      <c r="D141" s="12" t="s">
        <v>39</v>
      </c>
      <c r="E141" s="12" t="s">
        <v>36</v>
      </c>
      <c r="F141" s="13">
        <f>SUMIF('Approved FX'!$A$5:$A$7,E141,'Approved FX'!$B$5:$B$7)</f>
        <v>1</v>
      </c>
      <c r="G141" s="8">
        <f t="shared" si="33"/>
        <v>1676000</v>
      </c>
      <c r="H141" s="8">
        <f>SUMIFS('Cash Flow Ledger'!$G$5:$G$135,'Cash Flow Ledger'!$A$5:$A$135,B141,'Cash Flow Ledger'!$B$5:$B$135,C141)</f>
        <v>45000</v>
      </c>
      <c r="I141" s="8">
        <f>IF(AND(C141="E004",B141=SUMIF('Scenario Assumptions'!$A$5:$A$7,A141,'Scenario Assumptions'!$B$5:$B$7)),SUMIF('Scenario Assumptions'!$A$5:$A$7,A141,'Scenario Assumptions'!$C$5:$C$7),0)</f>
        <v>0</v>
      </c>
      <c r="J141" s="8">
        <f>IF(AND(C141="E004",B141=SUMIF('Scenario Assumptions'!$A$5:$A$7,A141,'Scenario Assumptions'!$D$5:$D$7)), -SUMIF('Scenario Assumptions'!$A$5:$A$7,A141,'Scenario Assumptions'!$E$5:$E$7),0)</f>
        <v>0</v>
      </c>
      <c r="K141" s="5">
        <v>0</v>
      </c>
      <c r="L141" s="8">
        <f t="shared" si="29"/>
        <v>1721000</v>
      </c>
      <c r="M141" s="8">
        <f>SUMIF(Entities!$A$5:$A$10,C141,Entities!$D$5:$D$10)</f>
        <v>500000</v>
      </c>
      <c r="N141" s="8">
        <f t="shared" si="30"/>
        <v>1221000</v>
      </c>
      <c r="O141" s="8">
        <f t="shared" si="31"/>
        <v>1721000</v>
      </c>
      <c r="P141" t="str">
        <f t="shared" si="32"/>
        <v>OK</v>
      </c>
    </row>
    <row r="142" spans="1:16" x14ac:dyDescent="0.25">
      <c r="A142" s="12" t="s">
        <v>180</v>
      </c>
      <c r="B142" s="9">
        <v>46272</v>
      </c>
      <c r="C142" s="12" t="s">
        <v>38</v>
      </c>
      <c r="D142" s="12" t="s">
        <v>39</v>
      </c>
      <c r="E142" s="12" t="s">
        <v>36</v>
      </c>
      <c r="F142" s="13">
        <f>SUMIF('Approved FX'!$A$5:$A$7,E142,'Approved FX'!$B$5:$B$7)</f>
        <v>1</v>
      </c>
      <c r="G142" s="8">
        <f t="shared" si="33"/>
        <v>1721000</v>
      </c>
      <c r="H142" s="8">
        <f>SUMIFS('Cash Flow Ledger'!$G$5:$G$135,'Cash Flow Ledger'!$A$5:$A$135,B142,'Cash Flow Ledger'!$B$5:$B$135,C142)</f>
        <v>80000</v>
      </c>
      <c r="I142" s="8">
        <f>IF(AND(C142="E004",B142=SUMIF('Scenario Assumptions'!$A$5:$A$7,A142,'Scenario Assumptions'!$B$5:$B$7)),SUMIF('Scenario Assumptions'!$A$5:$A$7,A142,'Scenario Assumptions'!$C$5:$C$7),0)</f>
        <v>0</v>
      </c>
      <c r="J142" s="8">
        <f>IF(AND(C142="E004",B142=SUMIF('Scenario Assumptions'!$A$5:$A$7,A142,'Scenario Assumptions'!$D$5:$D$7)), -SUMIF('Scenario Assumptions'!$A$5:$A$7,A142,'Scenario Assumptions'!$E$5:$E$7),0)</f>
        <v>0</v>
      </c>
      <c r="K142" s="5">
        <v>0</v>
      </c>
      <c r="L142" s="8">
        <f t="shared" si="29"/>
        <v>1801000</v>
      </c>
      <c r="M142" s="8">
        <f>SUMIF(Entities!$A$5:$A$10,C142,Entities!$D$5:$D$10)</f>
        <v>500000</v>
      </c>
      <c r="N142" s="8">
        <f t="shared" si="30"/>
        <v>1301000</v>
      </c>
      <c r="O142" s="8">
        <f t="shared" si="31"/>
        <v>1801000</v>
      </c>
      <c r="P142" t="str">
        <f t="shared" si="32"/>
        <v>OK</v>
      </c>
    </row>
    <row r="143" spans="1:16" x14ac:dyDescent="0.25">
      <c r="A143" s="12" t="s">
        <v>180</v>
      </c>
      <c r="B143" s="9">
        <v>46273</v>
      </c>
      <c r="C143" s="12" t="s">
        <v>38</v>
      </c>
      <c r="D143" s="12" t="s">
        <v>39</v>
      </c>
      <c r="E143" s="12" t="s">
        <v>36</v>
      </c>
      <c r="F143" s="13">
        <f>SUMIF('Approved FX'!$A$5:$A$7,E143,'Approved FX'!$B$5:$B$7)</f>
        <v>1</v>
      </c>
      <c r="G143" s="8">
        <f t="shared" si="33"/>
        <v>1801000</v>
      </c>
      <c r="H143" s="8">
        <f>SUMIFS('Cash Flow Ledger'!$G$5:$G$135,'Cash Flow Ledger'!$A$5:$A$135,B143,'Cash Flow Ledger'!$B$5:$B$135,C143)</f>
        <v>30000</v>
      </c>
      <c r="I143" s="8">
        <f>IF(AND(C143="E004",B143=SUMIF('Scenario Assumptions'!$A$5:$A$7,A143,'Scenario Assumptions'!$B$5:$B$7)),SUMIF('Scenario Assumptions'!$A$5:$A$7,A143,'Scenario Assumptions'!$C$5:$C$7),0)</f>
        <v>0</v>
      </c>
      <c r="J143" s="8">
        <f>IF(AND(C143="E004",B143=SUMIF('Scenario Assumptions'!$A$5:$A$7,A143,'Scenario Assumptions'!$D$5:$D$7)), -SUMIF('Scenario Assumptions'!$A$5:$A$7,A143,'Scenario Assumptions'!$E$5:$E$7),0)</f>
        <v>0</v>
      </c>
      <c r="K143" s="5">
        <v>0</v>
      </c>
      <c r="L143" s="8">
        <f t="shared" si="29"/>
        <v>1831000</v>
      </c>
      <c r="M143" s="8">
        <f>SUMIF(Entities!$A$5:$A$10,C143,Entities!$D$5:$D$10)</f>
        <v>500000</v>
      </c>
      <c r="N143" s="8">
        <f t="shared" si="30"/>
        <v>1331000</v>
      </c>
      <c r="O143" s="8">
        <f t="shared" si="31"/>
        <v>1831000</v>
      </c>
      <c r="P143" t="str">
        <f t="shared" si="32"/>
        <v>OK</v>
      </c>
    </row>
    <row r="144" spans="1:16" x14ac:dyDescent="0.25">
      <c r="A144" s="12" t="s">
        <v>180</v>
      </c>
      <c r="B144" s="9">
        <v>46274</v>
      </c>
      <c r="C144" s="12" t="s">
        <v>38</v>
      </c>
      <c r="D144" s="12" t="s">
        <v>39</v>
      </c>
      <c r="E144" s="12" t="s">
        <v>36</v>
      </c>
      <c r="F144" s="13">
        <f>SUMIF('Approved FX'!$A$5:$A$7,E144,'Approved FX'!$B$5:$B$7)</f>
        <v>1</v>
      </c>
      <c r="G144" s="8">
        <f t="shared" si="33"/>
        <v>1831000</v>
      </c>
      <c r="H144" s="8">
        <f>SUMIFS('Cash Flow Ledger'!$G$5:$G$135,'Cash Flow Ledger'!$A$5:$A$135,B144,'Cash Flow Ledger'!$B$5:$B$135,C144)</f>
        <v>30000</v>
      </c>
      <c r="I144" s="8">
        <f>IF(AND(C144="E004",B144=SUMIF('Scenario Assumptions'!$A$5:$A$7,A144,'Scenario Assumptions'!$B$5:$B$7)),SUMIF('Scenario Assumptions'!$A$5:$A$7,A144,'Scenario Assumptions'!$C$5:$C$7),0)</f>
        <v>0</v>
      </c>
      <c r="J144" s="8">
        <f>IF(AND(C144="E004",B144=SUMIF('Scenario Assumptions'!$A$5:$A$7,A144,'Scenario Assumptions'!$D$5:$D$7)), -SUMIF('Scenario Assumptions'!$A$5:$A$7,A144,'Scenario Assumptions'!$E$5:$E$7),0)</f>
        <v>0</v>
      </c>
      <c r="K144" s="5">
        <v>0</v>
      </c>
      <c r="L144" s="8">
        <f t="shared" si="29"/>
        <v>1861000</v>
      </c>
      <c r="M144" s="8">
        <f>SUMIF(Entities!$A$5:$A$10,C144,Entities!$D$5:$D$10)</f>
        <v>500000</v>
      </c>
      <c r="N144" s="8">
        <f t="shared" si="30"/>
        <v>1361000</v>
      </c>
      <c r="O144" s="8">
        <f t="shared" si="31"/>
        <v>1861000</v>
      </c>
      <c r="P144" t="str">
        <f t="shared" si="32"/>
        <v>OK</v>
      </c>
    </row>
    <row r="145" spans="1:16" x14ac:dyDescent="0.25">
      <c r="A145" s="12" t="s">
        <v>180</v>
      </c>
      <c r="B145" s="9">
        <v>46265</v>
      </c>
      <c r="C145" s="12" t="s">
        <v>40</v>
      </c>
      <c r="D145" s="12" t="s">
        <v>41</v>
      </c>
      <c r="E145" s="12" t="s">
        <v>36</v>
      </c>
      <c r="F145" s="13">
        <f>SUMIF('Approved FX'!$A$5:$A$7,E145,'Approved FX'!$B$5:$B$7)</f>
        <v>1</v>
      </c>
      <c r="G145" s="8">
        <f>SUMIFS('Opening Balances'!$I$5:$I$14,'Opening Balances'!$B$5:$B$14,C145)</f>
        <v>555750</v>
      </c>
      <c r="H145" s="8">
        <f>SUMIFS('Cash Flow Ledger'!$G$5:$G$135,'Cash Flow Ledger'!$A$5:$A$135,B145,'Cash Flow Ledger'!$B$5:$B$135,C145)</f>
        <v>265000</v>
      </c>
      <c r="I145" s="8">
        <f>IF(AND(C145="E004",B145=SUMIF('Scenario Assumptions'!$A$5:$A$7,A145,'Scenario Assumptions'!$B$5:$B$7)),SUMIF('Scenario Assumptions'!$A$5:$A$7,A145,'Scenario Assumptions'!$C$5:$C$7),0)</f>
        <v>0</v>
      </c>
      <c r="J145" s="8">
        <f>IF(AND(C145="E004",B145=SUMIF('Scenario Assumptions'!$A$5:$A$7,A145,'Scenario Assumptions'!$D$5:$D$7)), -SUMIF('Scenario Assumptions'!$A$5:$A$7,A145,'Scenario Assumptions'!$E$5:$E$7),0)</f>
        <v>0</v>
      </c>
      <c r="K145" s="5">
        <v>0</v>
      </c>
      <c r="L145" s="8">
        <f t="shared" si="29"/>
        <v>820750</v>
      </c>
      <c r="M145" s="8">
        <f>SUMIF(Entities!$A$5:$A$10,C145,Entities!$D$5:$D$10)</f>
        <v>150000</v>
      </c>
      <c r="N145" s="8">
        <f t="shared" si="30"/>
        <v>670750</v>
      </c>
      <c r="O145" s="8">
        <f t="shared" si="31"/>
        <v>820750</v>
      </c>
      <c r="P145" t="str">
        <f t="shared" si="32"/>
        <v>OK</v>
      </c>
    </row>
    <row r="146" spans="1:16" x14ac:dyDescent="0.25">
      <c r="A146" s="12" t="s">
        <v>180</v>
      </c>
      <c r="B146" s="9">
        <v>46266</v>
      </c>
      <c r="C146" s="12" t="s">
        <v>40</v>
      </c>
      <c r="D146" s="12" t="s">
        <v>41</v>
      </c>
      <c r="E146" s="12" t="s">
        <v>36</v>
      </c>
      <c r="F146" s="13">
        <f>SUMIF('Approved FX'!$A$5:$A$7,E146,'Approved FX'!$B$5:$B$7)</f>
        <v>1</v>
      </c>
      <c r="G146" s="8">
        <f t="shared" ref="G146:G154" si="34">L145</f>
        <v>820750</v>
      </c>
      <c r="H146" s="8">
        <f>SUMIFS('Cash Flow Ledger'!$G$5:$G$135,'Cash Flow Ledger'!$A$5:$A$135,B146,'Cash Flow Ledger'!$B$5:$B$135,C146)</f>
        <v>-205000</v>
      </c>
      <c r="I146" s="8">
        <f>IF(AND(C146="E004",B146=SUMIF('Scenario Assumptions'!$A$5:$A$7,A146,'Scenario Assumptions'!$B$5:$B$7)),SUMIF('Scenario Assumptions'!$A$5:$A$7,A146,'Scenario Assumptions'!$C$5:$C$7),0)</f>
        <v>0</v>
      </c>
      <c r="J146" s="8">
        <f>IF(AND(C146="E004",B146=SUMIF('Scenario Assumptions'!$A$5:$A$7,A146,'Scenario Assumptions'!$D$5:$D$7)), -SUMIF('Scenario Assumptions'!$A$5:$A$7,A146,'Scenario Assumptions'!$E$5:$E$7),0)</f>
        <v>0</v>
      </c>
      <c r="K146" s="5">
        <v>0</v>
      </c>
      <c r="L146" s="8">
        <f t="shared" si="29"/>
        <v>615750</v>
      </c>
      <c r="M146" s="8">
        <f>SUMIF(Entities!$A$5:$A$10,C146,Entities!$D$5:$D$10)</f>
        <v>150000</v>
      </c>
      <c r="N146" s="8">
        <f t="shared" si="30"/>
        <v>465750</v>
      </c>
      <c r="O146" s="8">
        <f t="shared" si="31"/>
        <v>615750</v>
      </c>
      <c r="P146" t="str">
        <f t="shared" si="32"/>
        <v>OK</v>
      </c>
    </row>
    <row r="147" spans="1:16" x14ac:dyDescent="0.25">
      <c r="A147" s="12" t="s">
        <v>180</v>
      </c>
      <c r="B147" s="9">
        <v>46267</v>
      </c>
      <c r="C147" s="12" t="s">
        <v>40</v>
      </c>
      <c r="D147" s="12" t="s">
        <v>41</v>
      </c>
      <c r="E147" s="12" t="s">
        <v>36</v>
      </c>
      <c r="F147" s="13">
        <f>SUMIF('Approved FX'!$A$5:$A$7,E147,'Approved FX'!$B$5:$B$7)</f>
        <v>1</v>
      </c>
      <c r="G147" s="8">
        <f t="shared" si="34"/>
        <v>615750</v>
      </c>
      <c r="H147" s="8">
        <f>SUMIFS('Cash Flow Ledger'!$G$5:$G$135,'Cash Flow Ledger'!$A$5:$A$135,B147,'Cash Flow Ledger'!$B$5:$B$135,C147)</f>
        <v>15000</v>
      </c>
      <c r="I147" s="8">
        <f>IF(AND(C147="E004",B147=SUMIF('Scenario Assumptions'!$A$5:$A$7,A147,'Scenario Assumptions'!$B$5:$B$7)),SUMIF('Scenario Assumptions'!$A$5:$A$7,A147,'Scenario Assumptions'!$C$5:$C$7),0)</f>
        <v>0</v>
      </c>
      <c r="J147" s="8">
        <f>IF(AND(C147="E004",B147=SUMIF('Scenario Assumptions'!$A$5:$A$7,A147,'Scenario Assumptions'!$D$5:$D$7)), -SUMIF('Scenario Assumptions'!$A$5:$A$7,A147,'Scenario Assumptions'!$E$5:$E$7),0)</f>
        <v>0</v>
      </c>
      <c r="K147" s="5">
        <v>0</v>
      </c>
      <c r="L147" s="8">
        <f t="shared" si="29"/>
        <v>630750</v>
      </c>
      <c r="M147" s="8">
        <f>SUMIF(Entities!$A$5:$A$10,C147,Entities!$D$5:$D$10)</f>
        <v>150000</v>
      </c>
      <c r="N147" s="8">
        <f t="shared" si="30"/>
        <v>480750</v>
      </c>
      <c r="O147" s="8">
        <f t="shared" si="31"/>
        <v>630750</v>
      </c>
      <c r="P147" t="str">
        <f t="shared" si="32"/>
        <v>OK</v>
      </c>
    </row>
    <row r="148" spans="1:16" x14ac:dyDescent="0.25">
      <c r="A148" s="12" t="s">
        <v>180</v>
      </c>
      <c r="B148" s="9">
        <v>46268</v>
      </c>
      <c r="C148" s="12" t="s">
        <v>40</v>
      </c>
      <c r="D148" s="12" t="s">
        <v>41</v>
      </c>
      <c r="E148" s="12" t="s">
        <v>36</v>
      </c>
      <c r="F148" s="13">
        <f>SUMIF('Approved FX'!$A$5:$A$7,E148,'Approved FX'!$B$5:$B$7)</f>
        <v>1</v>
      </c>
      <c r="G148" s="8">
        <f t="shared" si="34"/>
        <v>630750</v>
      </c>
      <c r="H148" s="8">
        <f>SUMIFS('Cash Flow Ledger'!$G$5:$G$135,'Cash Flow Ledger'!$A$5:$A$135,B148,'Cash Flow Ledger'!$B$5:$B$135,C148)</f>
        <v>15000</v>
      </c>
      <c r="I148" s="8">
        <f>IF(AND(C148="E004",B148=SUMIF('Scenario Assumptions'!$A$5:$A$7,A148,'Scenario Assumptions'!$B$5:$B$7)),SUMIF('Scenario Assumptions'!$A$5:$A$7,A148,'Scenario Assumptions'!$C$5:$C$7),0)</f>
        <v>0</v>
      </c>
      <c r="J148" s="8">
        <f>IF(AND(C148="E004",B148=SUMIF('Scenario Assumptions'!$A$5:$A$7,A148,'Scenario Assumptions'!$D$5:$D$7)), -SUMIF('Scenario Assumptions'!$A$5:$A$7,A148,'Scenario Assumptions'!$E$5:$E$7),0)</f>
        <v>0</v>
      </c>
      <c r="K148" s="5">
        <v>0</v>
      </c>
      <c r="L148" s="8">
        <f t="shared" si="29"/>
        <v>645750</v>
      </c>
      <c r="M148" s="8">
        <f>SUMIF(Entities!$A$5:$A$10,C148,Entities!$D$5:$D$10)</f>
        <v>150000</v>
      </c>
      <c r="N148" s="8">
        <f t="shared" si="30"/>
        <v>495750</v>
      </c>
      <c r="O148" s="8">
        <f t="shared" si="31"/>
        <v>645750</v>
      </c>
      <c r="P148" t="str">
        <f t="shared" si="32"/>
        <v>OK</v>
      </c>
    </row>
    <row r="149" spans="1:16" x14ac:dyDescent="0.25">
      <c r="A149" s="12" t="s">
        <v>180</v>
      </c>
      <c r="B149" s="9">
        <v>46269</v>
      </c>
      <c r="C149" s="12" t="s">
        <v>40</v>
      </c>
      <c r="D149" s="12" t="s">
        <v>41</v>
      </c>
      <c r="E149" s="12" t="s">
        <v>36</v>
      </c>
      <c r="F149" s="13">
        <f>SUMIF('Approved FX'!$A$5:$A$7,E149,'Approved FX'!$B$5:$B$7)</f>
        <v>1</v>
      </c>
      <c r="G149" s="8">
        <f t="shared" si="34"/>
        <v>645750</v>
      </c>
      <c r="H149" s="8">
        <f>SUMIFS('Cash Flow Ledger'!$G$5:$G$135,'Cash Flow Ledger'!$A$5:$A$135,B149,'Cash Flow Ledger'!$B$5:$B$135,C149)</f>
        <v>15000</v>
      </c>
      <c r="I149" s="8">
        <f>IF(AND(C149="E004",B149=SUMIF('Scenario Assumptions'!$A$5:$A$7,A149,'Scenario Assumptions'!$B$5:$B$7)),SUMIF('Scenario Assumptions'!$A$5:$A$7,A149,'Scenario Assumptions'!$C$5:$C$7),0)</f>
        <v>0</v>
      </c>
      <c r="J149" s="8">
        <f>IF(AND(C149="E004",B149=SUMIF('Scenario Assumptions'!$A$5:$A$7,A149,'Scenario Assumptions'!$D$5:$D$7)), -SUMIF('Scenario Assumptions'!$A$5:$A$7,A149,'Scenario Assumptions'!$E$5:$E$7),0)</f>
        <v>0</v>
      </c>
      <c r="K149" s="5">
        <v>0</v>
      </c>
      <c r="L149" s="8">
        <f t="shared" si="29"/>
        <v>660750</v>
      </c>
      <c r="M149" s="8">
        <f>SUMIF(Entities!$A$5:$A$10,C149,Entities!$D$5:$D$10)</f>
        <v>150000</v>
      </c>
      <c r="N149" s="8">
        <f t="shared" si="30"/>
        <v>510750</v>
      </c>
      <c r="O149" s="8">
        <f t="shared" si="31"/>
        <v>660750</v>
      </c>
      <c r="P149" t="str">
        <f t="shared" si="32"/>
        <v>OK</v>
      </c>
    </row>
    <row r="150" spans="1:16" x14ac:dyDescent="0.25">
      <c r="A150" s="12" t="s">
        <v>180</v>
      </c>
      <c r="B150" s="9">
        <v>46270</v>
      </c>
      <c r="C150" s="12" t="s">
        <v>40</v>
      </c>
      <c r="D150" s="12" t="s">
        <v>41</v>
      </c>
      <c r="E150" s="12" t="s">
        <v>36</v>
      </c>
      <c r="F150" s="13">
        <f>SUMIF('Approved FX'!$A$5:$A$7,E150,'Approved FX'!$B$5:$B$7)</f>
        <v>1</v>
      </c>
      <c r="G150" s="8">
        <f t="shared" si="34"/>
        <v>660750</v>
      </c>
      <c r="H150" s="8">
        <f>SUMIFS('Cash Flow Ledger'!$G$5:$G$135,'Cash Flow Ledger'!$A$5:$A$135,B150,'Cash Flow Ledger'!$B$5:$B$135,C150)</f>
        <v>-4000</v>
      </c>
      <c r="I150" s="8">
        <f>IF(AND(C150="E004",B150=SUMIF('Scenario Assumptions'!$A$5:$A$7,A150,'Scenario Assumptions'!$B$5:$B$7)),SUMIF('Scenario Assumptions'!$A$5:$A$7,A150,'Scenario Assumptions'!$C$5:$C$7),0)</f>
        <v>0</v>
      </c>
      <c r="J150" s="8">
        <f>IF(AND(C150="E004",B150=SUMIF('Scenario Assumptions'!$A$5:$A$7,A150,'Scenario Assumptions'!$D$5:$D$7)), -SUMIF('Scenario Assumptions'!$A$5:$A$7,A150,'Scenario Assumptions'!$E$5:$E$7),0)</f>
        <v>0</v>
      </c>
      <c r="K150" s="5">
        <v>0</v>
      </c>
      <c r="L150" s="8">
        <f t="shared" si="29"/>
        <v>656750</v>
      </c>
      <c r="M150" s="8">
        <f>SUMIF(Entities!$A$5:$A$10,C150,Entities!$D$5:$D$10)</f>
        <v>150000</v>
      </c>
      <c r="N150" s="8">
        <f t="shared" si="30"/>
        <v>506750</v>
      </c>
      <c r="O150" s="8">
        <f t="shared" si="31"/>
        <v>656750</v>
      </c>
      <c r="P150" t="str">
        <f t="shared" si="32"/>
        <v>OK</v>
      </c>
    </row>
    <row r="151" spans="1:16" x14ac:dyDescent="0.25">
      <c r="A151" s="12" t="s">
        <v>180</v>
      </c>
      <c r="B151" s="9">
        <v>46271</v>
      </c>
      <c r="C151" s="12" t="s">
        <v>40</v>
      </c>
      <c r="D151" s="12" t="s">
        <v>41</v>
      </c>
      <c r="E151" s="12" t="s">
        <v>36</v>
      </c>
      <c r="F151" s="13">
        <f>SUMIF('Approved FX'!$A$5:$A$7,E151,'Approved FX'!$B$5:$B$7)</f>
        <v>1</v>
      </c>
      <c r="G151" s="8">
        <f t="shared" si="34"/>
        <v>656750</v>
      </c>
      <c r="H151" s="8">
        <f>SUMIFS('Cash Flow Ledger'!$G$5:$G$135,'Cash Flow Ledger'!$A$5:$A$135,B151,'Cash Flow Ledger'!$B$5:$B$135,C151)</f>
        <v>-4000</v>
      </c>
      <c r="I151" s="8">
        <f>IF(AND(C151="E004",B151=SUMIF('Scenario Assumptions'!$A$5:$A$7,A151,'Scenario Assumptions'!$B$5:$B$7)),SUMIF('Scenario Assumptions'!$A$5:$A$7,A151,'Scenario Assumptions'!$C$5:$C$7),0)</f>
        <v>0</v>
      </c>
      <c r="J151" s="8">
        <f>IF(AND(C151="E004",B151=SUMIF('Scenario Assumptions'!$A$5:$A$7,A151,'Scenario Assumptions'!$D$5:$D$7)), -SUMIF('Scenario Assumptions'!$A$5:$A$7,A151,'Scenario Assumptions'!$E$5:$E$7),0)</f>
        <v>0</v>
      </c>
      <c r="K151" s="5">
        <v>0</v>
      </c>
      <c r="L151" s="8">
        <f t="shared" si="29"/>
        <v>652750</v>
      </c>
      <c r="M151" s="8">
        <f>SUMIF(Entities!$A$5:$A$10,C151,Entities!$D$5:$D$10)</f>
        <v>150000</v>
      </c>
      <c r="N151" s="8">
        <f t="shared" si="30"/>
        <v>502750</v>
      </c>
      <c r="O151" s="8">
        <f t="shared" si="31"/>
        <v>652750</v>
      </c>
      <c r="P151" t="str">
        <f t="shared" si="32"/>
        <v>OK</v>
      </c>
    </row>
    <row r="152" spans="1:16" x14ac:dyDescent="0.25">
      <c r="A152" s="12" t="s">
        <v>180</v>
      </c>
      <c r="B152" s="9">
        <v>46272</v>
      </c>
      <c r="C152" s="12" t="s">
        <v>40</v>
      </c>
      <c r="D152" s="12" t="s">
        <v>41</v>
      </c>
      <c r="E152" s="12" t="s">
        <v>36</v>
      </c>
      <c r="F152" s="13">
        <f>SUMIF('Approved FX'!$A$5:$A$7,E152,'Approved FX'!$B$5:$B$7)</f>
        <v>1</v>
      </c>
      <c r="G152" s="8">
        <f t="shared" si="34"/>
        <v>652750</v>
      </c>
      <c r="H152" s="8">
        <f>SUMIFS('Cash Flow Ledger'!$G$5:$G$135,'Cash Flow Ledger'!$A$5:$A$135,B152,'Cash Flow Ledger'!$B$5:$B$135,C152)</f>
        <v>-4000</v>
      </c>
      <c r="I152" s="8">
        <f>IF(AND(C152="E004",B152=SUMIF('Scenario Assumptions'!$A$5:$A$7,A152,'Scenario Assumptions'!$B$5:$B$7)),SUMIF('Scenario Assumptions'!$A$5:$A$7,A152,'Scenario Assumptions'!$C$5:$C$7),0)</f>
        <v>0</v>
      </c>
      <c r="J152" s="8">
        <f>IF(AND(C152="E004",B152=SUMIF('Scenario Assumptions'!$A$5:$A$7,A152,'Scenario Assumptions'!$D$5:$D$7)), -SUMIF('Scenario Assumptions'!$A$5:$A$7,A152,'Scenario Assumptions'!$E$5:$E$7),0)</f>
        <v>0</v>
      </c>
      <c r="K152" s="5">
        <v>0</v>
      </c>
      <c r="L152" s="8">
        <f t="shared" si="29"/>
        <v>648750</v>
      </c>
      <c r="M152" s="8">
        <f>SUMIF(Entities!$A$5:$A$10,C152,Entities!$D$5:$D$10)</f>
        <v>150000</v>
      </c>
      <c r="N152" s="8">
        <f t="shared" si="30"/>
        <v>498750</v>
      </c>
      <c r="O152" s="8">
        <f t="shared" si="31"/>
        <v>648750</v>
      </c>
      <c r="P152" t="str">
        <f t="shared" si="32"/>
        <v>OK</v>
      </c>
    </row>
    <row r="153" spans="1:16" x14ac:dyDescent="0.25">
      <c r="A153" s="12" t="s">
        <v>180</v>
      </c>
      <c r="B153" s="9">
        <v>46273</v>
      </c>
      <c r="C153" s="12" t="s">
        <v>40</v>
      </c>
      <c r="D153" s="12" t="s">
        <v>41</v>
      </c>
      <c r="E153" s="12" t="s">
        <v>36</v>
      </c>
      <c r="F153" s="13">
        <f>SUMIF('Approved FX'!$A$5:$A$7,E153,'Approved FX'!$B$5:$B$7)</f>
        <v>1</v>
      </c>
      <c r="G153" s="8">
        <f t="shared" si="34"/>
        <v>648750</v>
      </c>
      <c r="H153" s="8">
        <f>SUMIFS('Cash Flow Ledger'!$G$5:$G$135,'Cash Flow Ledger'!$A$5:$A$135,B153,'Cash Flow Ledger'!$B$5:$B$135,C153)</f>
        <v>-224000</v>
      </c>
      <c r="I153" s="8">
        <f>IF(AND(C153="E004",B153=SUMIF('Scenario Assumptions'!$A$5:$A$7,A153,'Scenario Assumptions'!$B$5:$B$7)),SUMIF('Scenario Assumptions'!$A$5:$A$7,A153,'Scenario Assumptions'!$C$5:$C$7),0)</f>
        <v>0</v>
      </c>
      <c r="J153" s="8">
        <f>IF(AND(C153="E004",B153=SUMIF('Scenario Assumptions'!$A$5:$A$7,A153,'Scenario Assumptions'!$D$5:$D$7)), -SUMIF('Scenario Assumptions'!$A$5:$A$7,A153,'Scenario Assumptions'!$E$5:$E$7),0)</f>
        <v>0</v>
      </c>
      <c r="K153" s="5">
        <v>0</v>
      </c>
      <c r="L153" s="8">
        <f t="shared" si="29"/>
        <v>424750</v>
      </c>
      <c r="M153" s="8">
        <f>SUMIF(Entities!$A$5:$A$10,C153,Entities!$D$5:$D$10)</f>
        <v>150000</v>
      </c>
      <c r="N153" s="8">
        <f t="shared" si="30"/>
        <v>274750</v>
      </c>
      <c r="O153" s="8">
        <f t="shared" si="31"/>
        <v>424750</v>
      </c>
      <c r="P153" t="str">
        <f t="shared" si="32"/>
        <v>OK</v>
      </c>
    </row>
    <row r="154" spans="1:16" x14ac:dyDescent="0.25">
      <c r="A154" s="12" t="s">
        <v>180</v>
      </c>
      <c r="B154" s="9">
        <v>46274</v>
      </c>
      <c r="C154" s="12" t="s">
        <v>40</v>
      </c>
      <c r="D154" s="12" t="s">
        <v>41</v>
      </c>
      <c r="E154" s="12" t="s">
        <v>36</v>
      </c>
      <c r="F154" s="13">
        <f>SUMIF('Approved FX'!$A$5:$A$7,E154,'Approved FX'!$B$5:$B$7)</f>
        <v>1</v>
      </c>
      <c r="G154" s="8">
        <f t="shared" si="34"/>
        <v>424750</v>
      </c>
      <c r="H154" s="8">
        <f>SUMIFS('Cash Flow Ledger'!$G$5:$G$135,'Cash Flow Ledger'!$A$5:$A$135,B154,'Cash Flow Ledger'!$B$5:$B$135,C154)</f>
        <v>-4000</v>
      </c>
      <c r="I154" s="8">
        <f>IF(AND(C154="E004",B154=SUMIF('Scenario Assumptions'!$A$5:$A$7,A154,'Scenario Assumptions'!$B$5:$B$7)),SUMIF('Scenario Assumptions'!$A$5:$A$7,A154,'Scenario Assumptions'!$C$5:$C$7),0)</f>
        <v>0</v>
      </c>
      <c r="J154" s="8">
        <f>IF(AND(C154="E004",B154=SUMIF('Scenario Assumptions'!$A$5:$A$7,A154,'Scenario Assumptions'!$D$5:$D$7)), -SUMIF('Scenario Assumptions'!$A$5:$A$7,A154,'Scenario Assumptions'!$E$5:$E$7),0)</f>
        <v>0</v>
      </c>
      <c r="K154" s="5">
        <v>0</v>
      </c>
      <c r="L154" s="8">
        <f t="shared" si="29"/>
        <v>420750</v>
      </c>
      <c r="M154" s="8">
        <f>SUMIF(Entities!$A$5:$A$10,C154,Entities!$D$5:$D$10)</f>
        <v>150000</v>
      </c>
      <c r="N154" s="8">
        <f t="shared" si="30"/>
        <v>270750</v>
      </c>
      <c r="O154" s="8">
        <f t="shared" si="31"/>
        <v>420750</v>
      </c>
      <c r="P154" t="str">
        <f t="shared" si="32"/>
        <v>OK</v>
      </c>
    </row>
    <row r="155" spans="1:16" x14ac:dyDescent="0.25">
      <c r="A155" s="12" t="s">
        <v>180</v>
      </c>
      <c r="B155" s="9">
        <v>46265</v>
      </c>
      <c r="C155" s="12" t="s">
        <v>43</v>
      </c>
      <c r="D155" s="12" t="s">
        <v>44</v>
      </c>
      <c r="E155" s="12" t="s">
        <v>36</v>
      </c>
      <c r="F155" s="13">
        <f>SUMIF('Approved FX'!$A$5:$A$7,E155,'Approved FX'!$B$5:$B$7)</f>
        <v>1</v>
      </c>
      <c r="G155" s="8">
        <f>SUMIFS('Opening Balances'!$I$5:$I$14,'Opening Balances'!$B$5:$B$14,C155)</f>
        <v>230400</v>
      </c>
      <c r="H155" s="8">
        <f>SUMIFS('Cash Flow Ledger'!$G$5:$G$135,'Cash Flow Ledger'!$A$5:$A$135,B155,'Cash Flow Ledger'!$B$5:$B$135,C155)</f>
        <v>-85000</v>
      </c>
      <c r="I155" s="8">
        <f>IF(AND(C155="E004",B155=SUMIF('Scenario Assumptions'!$A$5:$A$7,A155,'Scenario Assumptions'!$B$5:$B$7)),SUMIF('Scenario Assumptions'!$A$5:$A$7,A155,'Scenario Assumptions'!$C$5:$C$7),0)</f>
        <v>0</v>
      </c>
      <c r="J155" s="8">
        <f>IF(AND(C155="E004",B155=SUMIF('Scenario Assumptions'!$A$5:$A$7,A155,'Scenario Assumptions'!$D$5:$D$7)), -SUMIF('Scenario Assumptions'!$A$5:$A$7,A155,'Scenario Assumptions'!$E$5:$E$7),0)</f>
        <v>0</v>
      </c>
      <c r="K155" s="5">
        <v>0</v>
      </c>
      <c r="L155" s="8">
        <f t="shared" si="29"/>
        <v>145400</v>
      </c>
      <c r="M155" s="8">
        <f>SUMIF(Entities!$A$5:$A$10,C155,Entities!$D$5:$D$10)</f>
        <v>200000</v>
      </c>
      <c r="N155" s="8">
        <f t="shared" si="30"/>
        <v>-54600</v>
      </c>
      <c r="O155" s="8">
        <f t="shared" si="31"/>
        <v>145400</v>
      </c>
      <c r="P155" t="str">
        <f t="shared" si="32"/>
        <v>BELOW MINIMUM</v>
      </c>
    </row>
    <row r="156" spans="1:16" x14ac:dyDescent="0.25">
      <c r="A156" s="12" t="s">
        <v>180</v>
      </c>
      <c r="B156" s="9">
        <v>46266</v>
      </c>
      <c r="C156" s="12" t="s">
        <v>43</v>
      </c>
      <c r="D156" s="12" t="s">
        <v>44</v>
      </c>
      <c r="E156" s="12" t="s">
        <v>36</v>
      </c>
      <c r="F156" s="13">
        <f>SUMIF('Approved FX'!$A$5:$A$7,E156,'Approved FX'!$B$5:$B$7)</f>
        <v>1</v>
      </c>
      <c r="G156" s="8">
        <f t="shared" ref="G156:G164" si="35">L155</f>
        <v>145400</v>
      </c>
      <c r="H156" s="8">
        <f>SUMIFS('Cash Flow Ledger'!$G$5:$G$135,'Cash Flow Ledger'!$A$5:$A$135,B156,'Cash Flow Ledger'!$B$5:$B$135,C156)</f>
        <v>-65000</v>
      </c>
      <c r="I156" s="8">
        <f>IF(AND(C156="E004",B156=SUMIF('Scenario Assumptions'!$A$5:$A$7,A156,'Scenario Assumptions'!$B$5:$B$7)),SUMIF('Scenario Assumptions'!$A$5:$A$7,A156,'Scenario Assumptions'!$C$5:$C$7),0)</f>
        <v>0</v>
      </c>
      <c r="J156" s="8">
        <f>IF(AND(C156="E004",B156=SUMIF('Scenario Assumptions'!$A$5:$A$7,A156,'Scenario Assumptions'!$D$5:$D$7)), -SUMIF('Scenario Assumptions'!$A$5:$A$7,A156,'Scenario Assumptions'!$E$5:$E$7),0)</f>
        <v>0</v>
      </c>
      <c r="K156" s="5">
        <v>0</v>
      </c>
      <c r="L156" s="8">
        <f t="shared" si="29"/>
        <v>80400</v>
      </c>
      <c r="M156" s="8">
        <f>SUMIF(Entities!$A$5:$A$10,C156,Entities!$D$5:$D$10)</f>
        <v>200000</v>
      </c>
      <c r="N156" s="8">
        <f t="shared" si="30"/>
        <v>-119600</v>
      </c>
      <c r="O156" s="8">
        <f t="shared" si="31"/>
        <v>80400</v>
      </c>
      <c r="P156" t="str">
        <f t="shared" si="32"/>
        <v>BELOW MINIMUM</v>
      </c>
    </row>
    <row r="157" spans="1:16" x14ac:dyDescent="0.25">
      <c r="A157" s="12" t="s">
        <v>180</v>
      </c>
      <c r="B157" s="9">
        <v>46267</v>
      </c>
      <c r="C157" s="12" t="s">
        <v>43</v>
      </c>
      <c r="D157" s="12" t="s">
        <v>44</v>
      </c>
      <c r="E157" s="12" t="s">
        <v>36</v>
      </c>
      <c r="F157" s="13">
        <f>SUMIF('Approved FX'!$A$5:$A$7,E157,'Approved FX'!$B$5:$B$7)</f>
        <v>1</v>
      </c>
      <c r="G157" s="8">
        <f t="shared" si="35"/>
        <v>80400</v>
      </c>
      <c r="H157" s="8">
        <f>SUMIFS('Cash Flow Ledger'!$G$5:$G$135,'Cash Flow Ledger'!$A$5:$A$135,B157,'Cash Flow Ledger'!$B$5:$B$135,C157)</f>
        <v>0</v>
      </c>
      <c r="I157" s="8">
        <f>IF(AND(C157="E004",B157=SUMIF('Scenario Assumptions'!$A$5:$A$7,A157,'Scenario Assumptions'!$B$5:$B$7)),SUMIF('Scenario Assumptions'!$A$5:$A$7,A157,'Scenario Assumptions'!$C$5:$C$7),0)</f>
        <v>0</v>
      </c>
      <c r="J157" s="8">
        <f>IF(AND(C157="E004",B157=SUMIF('Scenario Assumptions'!$A$5:$A$7,A157,'Scenario Assumptions'!$D$5:$D$7)), -SUMIF('Scenario Assumptions'!$A$5:$A$7,A157,'Scenario Assumptions'!$E$5:$E$7),0)</f>
        <v>0</v>
      </c>
      <c r="K157" s="5">
        <v>0</v>
      </c>
      <c r="L157" s="8">
        <f t="shared" si="29"/>
        <v>80400</v>
      </c>
      <c r="M157" s="8">
        <f>SUMIF(Entities!$A$5:$A$10,C157,Entities!$D$5:$D$10)</f>
        <v>200000</v>
      </c>
      <c r="N157" s="8">
        <f t="shared" si="30"/>
        <v>-119600</v>
      </c>
      <c r="O157" s="8">
        <f t="shared" si="31"/>
        <v>80400</v>
      </c>
      <c r="P157" t="str">
        <f t="shared" si="32"/>
        <v>BELOW MINIMUM</v>
      </c>
    </row>
    <row r="158" spans="1:16" x14ac:dyDescent="0.25">
      <c r="A158" s="12" t="s">
        <v>180</v>
      </c>
      <c r="B158" s="9">
        <v>46268</v>
      </c>
      <c r="C158" s="12" t="s">
        <v>43</v>
      </c>
      <c r="D158" s="12" t="s">
        <v>44</v>
      </c>
      <c r="E158" s="12" t="s">
        <v>36</v>
      </c>
      <c r="F158" s="13">
        <f>SUMIF('Approved FX'!$A$5:$A$7,E158,'Approved FX'!$B$5:$B$7)</f>
        <v>1</v>
      </c>
      <c r="G158" s="8">
        <f t="shared" si="35"/>
        <v>80400</v>
      </c>
      <c r="H158" s="8">
        <f>SUMIFS('Cash Flow Ledger'!$G$5:$G$135,'Cash Flow Ledger'!$A$5:$A$135,B158,'Cash Flow Ledger'!$B$5:$B$135,C158)</f>
        <v>-410000</v>
      </c>
      <c r="I158" s="8">
        <f>IF(AND(C158="E004",B158=SUMIF('Scenario Assumptions'!$A$5:$A$7,A158,'Scenario Assumptions'!$B$5:$B$7)),SUMIF('Scenario Assumptions'!$A$5:$A$7,A158,'Scenario Assumptions'!$C$5:$C$7),0)</f>
        <v>0</v>
      </c>
      <c r="J158" s="8">
        <f>IF(AND(C158="E004",B158=SUMIF('Scenario Assumptions'!$A$5:$A$7,A158,'Scenario Assumptions'!$D$5:$D$7)), -SUMIF('Scenario Assumptions'!$A$5:$A$7,A158,'Scenario Assumptions'!$E$5:$E$7),0)</f>
        <v>0</v>
      </c>
      <c r="K158" s="5">
        <v>0</v>
      </c>
      <c r="L158" s="8">
        <f t="shared" si="29"/>
        <v>-329600</v>
      </c>
      <c r="M158" s="8">
        <f>SUMIF(Entities!$A$5:$A$10,C158,Entities!$D$5:$D$10)</f>
        <v>200000</v>
      </c>
      <c r="N158" s="8">
        <f t="shared" si="30"/>
        <v>-529600</v>
      </c>
      <c r="O158" s="8">
        <f t="shared" si="31"/>
        <v>-329600</v>
      </c>
      <c r="P158" t="str">
        <f t="shared" si="32"/>
        <v>NEGATIVE</v>
      </c>
    </row>
    <row r="159" spans="1:16" x14ac:dyDescent="0.25">
      <c r="A159" s="12" t="s">
        <v>180</v>
      </c>
      <c r="B159" s="9">
        <v>46269</v>
      </c>
      <c r="C159" s="12" t="s">
        <v>43</v>
      </c>
      <c r="D159" s="12" t="s">
        <v>44</v>
      </c>
      <c r="E159" s="12" t="s">
        <v>36</v>
      </c>
      <c r="F159" s="13">
        <f>SUMIF('Approved FX'!$A$5:$A$7,E159,'Approved FX'!$B$5:$B$7)</f>
        <v>1</v>
      </c>
      <c r="G159" s="8">
        <f t="shared" si="35"/>
        <v>-329600</v>
      </c>
      <c r="H159" s="8">
        <f>SUMIFS('Cash Flow Ledger'!$G$5:$G$135,'Cash Flow Ledger'!$A$5:$A$135,B159,'Cash Flow Ledger'!$B$5:$B$135,C159)</f>
        <v>-115000</v>
      </c>
      <c r="I159" s="8">
        <f>IF(AND(C159="E004",B159=SUMIF('Scenario Assumptions'!$A$5:$A$7,A159,'Scenario Assumptions'!$B$5:$B$7)),SUMIF('Scenario Assumptions'!$A$5:$A$7,A159,'Scenario Assumptions'!$C$5:$C$7),0)</f>
        <v>0</v>
      </c>
      <c r="J159" s="8">
        <f>IF(AND(C159="E004",B159=SUMIF('Scenario Assumptions'!$A$5:$A$7,A159,'Scenario Assumptions'!$D$5:$D$7)), -SUMIF('Scenario Assumptions'!$A$5:$A$7,A159,'Scenario Assumptions'!$E$5:$E$7),0)</f>
        <v>-90000</v>
      </c>
      <c r="K159" s="5">
        <v>0</v>
      </c>
      <c r="L159" s="8">
        <f t="shared" si="29"/>
        <v>-534600</v>
      </c>
      <c r="M159" s="8">
        <f>SUMIF(Entities!$A$5:$A$10,C159,Entities!$D$5:$D$10)</f>
        <v>200000</v>
      </c>
      <c r="N159" s="8">
        <f t="shared" si="30"/>
        <v>-734600</v>
      </c>
      <c r="O159" s="8">
        <f t="shared" si="31"/>
        <v>-534600</v>
      </c>
      <c r="P159" t="str">
        <f t="shared" si="32"/>
        <v>NEGATIVE</v>
      </c>
    </row>
    <row r="160" spans="1:16" x14ac:dyDescent="0.25">
      <c r="A160" s="12" t="s">
        <v>180</v>
      </c>
      <c r="B160" s="9">
        <v>46270</v>
      </c>
      <c r="C160" s="12" t="s">
        <v>43</v>
      </c>
      <c r="D160" s="12" t="s">
        <v>44</v>
      </c>
      <c r="E160" s="12" t="s">
        <v>36</v>
      </c>
      <c r="F160" s="13">
        <f>SUMIF('Approved FX'!$A$5:$A$7,E160,'Approved FX'!$B$5:$B$7)</f>
        <v>1</v>
      </c>
      <c r="G160" s="8">
        <f t="shared" si="35"/>
        <v>-534600</v>
      </c>
      <c r="H160" s="8">
        <f>SUMIFS('Cash Flow Ledger'!$G$5:$G$135,'Cash Flow Ledger'!$A$5:$A$135,B160,'Cash Flow Ledger'!$B$5:$B$135,C160)</f>
        <v>-90000</v>
      </c>
      <c r="I160" s="8">
        <f>IF(AND(C160="E004",B160=SUMIF('Scenario Assumptions'!$A$5:$A$7,A160,'Scenario Assumptions'!$B$5:$B$7)),SUMIF('Scenario Assumptions'!$A$5:$A$7,A160,'Scenario Assumptions'!$C$5:$C$7),0)</f>
        <v>0</v>
      </c>
      <c r="J160" s="8">
        <f>IF(AND(C160="E004",B160=SUMIF('Scenario Assumptions'!$A$5:$A$7,A160,'Scenario Assumptions'!$D$5:$D$7)), -SUMIF('Scenario Assumptions'!$A$5:$A$7,A160,'Scenario Assumptions'!$E$5:$E$7),0)</f>
        <v>0</v>
      </c>
      <c r="K160" s="5">
        <v>0</v>
      </c>
      <c r="L160" s="8">
        <f t="shared" si="29"/>
        <v>-624600</v>
      </c>
      <c r="M160" s="8">
        <f>SUMIF(Entities!$A$5:$A$10,C160,Entities!$D$5:$D$10)</f>
        <v>200000</v>
      </c>
      <c r="N160" s="8">
        <f t="shared" si="30"/>
        <v>-824600</v>
      </c>
      <c r="O160" s="8">
        <f t="shared" si="31"/>
        <v>-624600</v>
      </c>
      <c r="P160" t="str">
        <f t="shared" si="32"/>
        <v>NEGATIVE</v>
      </c>
    </row>
    <row r="161" spans="1:16" x14ac:dyDescent="0.25">
      <c r="A161" s="12" t="s">
        <v>180</v>
      </c>
      <c r="B161" s="9">
        <v>46271</v>
      </c>
      <c r="C161" s="12" t="s">
        <v>43</v>
      </c>
      <c r="D161" s="12" t="s">
        <v>44</v>
      </c>
      <c r="E161" s="12" t="s">
        <v>36</v>
      </c>
      <c r="F161" s="13">
        <f>SUMIF('Approved FX'!$A$5:$A$7,E161,'Approved FX'!$B$5:$B$7)</f>
        <v>1</v>
      </c>
      <c r="G161" s="8">
        <f t="shared" si="35"/>
        <v>-624600</v>
      </c>
      <c r="H161" s="8">
        <f>SUMIFS('Cash Flow Ledger'!$G$5:$G$135,'Cash Flow Ledger'!$A$5:$A$135,B161,'Cash Flow Ledger'!$B$5:$B$135,C161)</f>
        <v>5000</v>
      </c>
      <c r="I161" s="8">
        <f>IF(AND(C161="E004",B161=SUMIF('Scenario Assumptions'!$A$5:$A$7,A161,'Scenario Assumptions'!$B$5:$B$7)),SUMIF('Scenario Assumptions'!$A$5:$A$7,A161,'Scenario Assumptions'!$C$5:$C$7),0)</f>
        <v>0</v>
      </c>
      <c r="J161" s="8">
        <f>IF(AND(C161="E004",B161=SUMIF('Scenario Assumptions'!$A$5:$A$7,A161,'Scenario Assumptions'!$D$5:$D$7)), -SUMIF('Scenario Assumptions'!$A$5:$A$7,A161,'Scenario Assumptions'!$E$5:$E$7),0)</f>
        <v>0</v>
      </c>
      <c r="K161" s="5">
        <v>0</v>
      </c>
      <c r="L161" s="8">
        <f t="shared" si="29"/>
        <v>-619600</v>
      </c>
      <c r="M161" s="8">
        <f>SUMIF(Entities!$A$5:$A$10,C161,Entities!$D$5:$D$10)</f>
        <v>200000</v>
      </c>
      <c r="N161" s="8">
        <f t="shared" si="30"/>
        <v>-819600</v>
      </c>
      <c r="O161" s="8">
        <f t="shared" si="31"/>
        <v>-619600</v>
      </c>
      <c r="P161" t="str">
        <f t="shared" si="32"/>
        <v>NEGATIVE</v>
      </c>
    </row>
    <row r="162" spans="1:16" x14ac:dyDescent="0.25">
      <c r="A162" s="12" t="s">
        <v>180</v>
      </c>
      <c r="B162" s="9">
        <v>46272</v>
      </c>
      <c r="C162" s="12" t="s">
        <v>43</v>
      </c>
      <c r="D162" s="12" t="s">
        <v>44</v>
      </c>
      <c r="E162" s="12" t="s">
        <v>36</v>
      </c>
      <c r="F162" s="13">
        <f>SUMIF('Approved FX'!$A$5:$A$7,E162,'Approved FX'!$B$5:$B$7)</f>
        <v>1</v>
      </c>
      <c r="G162" s="8">
        <f t="shared" si="35"/>
        <v>-619600</v>
      </c>
      <c r="H162" s="8">
        <f>SUMIFS('Cash Flow Ledger'!$G$5:$G$135,'Cash Flow Ledger'!$A$5:$A$135,B162,'Cash Flow Ledger'!$B$5:$B$135,C162)</f>
        <v>-145000</v>
      </c>
      <c r="I162" s="8">
        <f>IF(AND(C162="E004",B162=SUMIF('Scenario Assumptions'!$A$5:$A$7,A162,'Scenario Assumptions'!$B$5:$B$7)),SUMIF('Scenario Assumptions'!$A$5:$A$7,A162,'Scenario Assumptions'!$C$5:$C$7),0)</f>
        <v>0</v>
      </c>
      <c r="J162" s="8">
        <f>IF(AND(C162="E004",B162=SUMIF('Scenario Assumptions'!$A$5:$A$7,A162,'Scenario Assumptions'!$D$5:$D$7)), -SUMIF('Scenario Assumptions'!$A$5:$A$7,A162,'Scenario Assumptions'!$E$5:$E$7),0)</f>
        <v>0</v>
      </c>
      <c r="K162" s="5">
        <v>0</v>
      </c>
      <c r="L162" s="8">
        <f t="shared" si="29"/>
        <v>-764600</v>
      </c>
      <c r="M162" s="8">
        <f>SUMIF(Entities!$A$5:$A$10,C162,Entities!$D$5:$D$10)</f>
        <v>200000</v>
      </c>
      <c r="N162" s="8">
        <f t="shared" si="30"/>
        <v>-964600</v>
      </c>
      <c r="O162" s="8">
        <f t="shared" si="31"/>
        <v>-764600</v>
      </c>
      <c r="P162" t="str">
        <f t="shared" si="32"/>
        <v>NEGATIVE</v>
      </c>
    </row>
    <row r="163" spans="1:16" x14ac:dyDescent="0.25">
      <c r="A163" s="12" t="s">
        <v>180</v>
      </c>
      <c r="B163" s="9">
        <v>46273</v>
      </c>
      <c r="C163" s="12" t="s">
        <v>43</v>
      </c>
      <c r="D163" s="12" t="s">
        <v>44</v>
      </c>
      <c r="E163" s="12" t="s">
        <v>36</v>
      </c>
      <c r="F163" s="13">
        <f>SUMIF('Approved FX'!$A$5:$A$7,E163,'Approved FX'!$B$5:$B$7)</f>
        <v>1</v>
      </c>
      <c r="G163" s="8">
        <f t="shared" si="35"/>
        <v>-764600</v>
      </c>
      <c r="H163" s="8">
        <f>SUMIFS('Cash Flow Ledger'!$G$5:$G$135,'Cash Flow Ledger'!$A$5:$A$135,B163,'Cash Flow Ledger'!$B$5:$B$135,C163)</f>
        <v>35000</v>
      </c>
      <c r="I163" s="8">
        <f>IF(AND(C163="E004",B163=SUMIF('Scenario Assumptions'!$A$5:$A$7,A163,'Scenario Assumptions'!$B$5:$B$7)),SUMIF('Scenario Assumptions'!$A$5:$A$7,A163,'Scenario Assumptions'!$C$5:$C$7),0)</f>
        <v>620000</v>
      </c>
      <c r="J163" s="8">
        <f>IF(AND(C163="E004",B163=SUMIF('Scenario Assumptions'!$A$5:$A$7,A163,'Scenario Assumptions'!$D$5:$D$7)), -SUMIF('Scenario Assumptions'!$A$5:$A$7,A163,'Scenario Assumptions'!$E$5:$E$7),0)</f>
        <v>0</v>
      </c>
      <c r="K163" s="5">
        <v>0</v>
      </c>
      <c r="L163" s="8">
        <f t="shared" si="29"/>
        <v>-109600</v>
      </c>
      <c r="M163" s="8">
        <f>SUMIF(Entities!$A$5:$A$10,C163,Entities!$D$5:$D$10)</f>
        <v>200000</v>
      </c>
      <c r="N163" s="8">
        <f t="shared" si="30"/>
        <v>-309600</v>
      </c>
      <c r="O163" s="8">
        <f t="shared" si="31"/>
        <v>-109600</v>
      </c>
      <c r="P163" t="str">
        <f t="shared" si="32"/>
        <v>NEGATIVE</v>
      </c>
    </row>
    <row r="164" spans="1:16" x14ac:dyDescent="0.25">
      <c r="A164" s="12" t="s">
        <v>180</v>
      </c>
      <c r="B164" s="9">
        <v>46274</v>
      </c>
      <c r="C164" s="12" t="s">
        <v>43</v>
      </c>
      <c r="D164" s="12" t="s">
        <v>44</v>
      </c>
      <c r="E164" s="12" t="s">
        <v>36</v>
      </c>
      <c r="F164" s="13">
        <f>SUMIF('Approved FX'!$A$5:$A$7,E164,'Approved FX'!$B$5:$B$7)</f>
        <v>1</v>
      </c>
      <c r="G164" s="8">
        <f t="shared" si="35"/>
        <v>-109600</v>
      </c>
      <c r="H164" s="8">
        <f>SUMIFS('Cash Flow Ledger'!$G$5:$G$135,'Cash Flow Ledger'!$A$5:$A$135,B164,'Cash Flow Ledger'!$B$5:$B$135,C164)</f>
        <v>-30000</v>
      </c>
      <c r="I164" s="8">
        <f>IF(AND(C164="E004",B164=SUMIF('Scenario Assumptions'!$A$5:$A$7,A164,'Scenario Assumptions'!$B$5:$B$7)),SUMIF('Scenario Assumptions'!$A$5:$A$7,A164,'Scenario Assumptions'!$C$5:$C$7),0)</f>
        <v>0</v>
      </c>
      <c r="J164" s="8">
        <f>IF(AND(C164="E004",B164=SUMIF('Scenario Assumptions'!$A$5:$A$7,A164,'Scenario Assumptions'!$D$5:$D$7)), -SUMIF('Scenario Assumptions'!$A$5:$A$7,A164,'Scenario Assumptions'!$E$5:$E$7),0)</f>
        <v>0</v>
      </c>
      <c r="K164" s="5">
        <v>0</v>
      </c>
      <c r="L164" s="8">
        <f t="shared" si="29"/>
        <v>-139600</v>
      </c>
      <c r="M164" s="8">
        <f>SUMIF(Entities!$A$5:$A$10,C164,Entities!$D$5:$D$10)</f>
        <v>200000</v>
      </c>
      <c r="N164" s="8">
        <f t="shared" si="30"/>
        <v>-339600</v>
      </c>
      <c r="O164" s="8">
        <f t="shared" si="31"/>
        <v>-139600</v>
      </c>
      <c r="P164" t="str">
        <f t="shared" si="32"/>
        <v>NEGATIVE</v>
      </c>
    </row>
    <row r="165" spans="1:16" x14ac:dyDescent="0.25">
      <c r="A165" s="12" t="s">
        <v>180</v>
      </c>
      <c r="B165" s="9">
        <v>46265</v>
      </c>
      <c r="C165" s="12" t="s">
        <v>45</v>
      </c>
      <c r="D165" s="12" t="s">
        <v>46</v>
      </c>
      <c r="E165" s="12" t="s">
        <v>47</v>
      </c>
      <c r="F165" s="13">
        <f>SUMIF('Approved FX'!$A$5:$A$7,E165,'Approved FX'!$B$5:$B$7)</f>
        <v>0.73650000000000004</v>
      </c>
      <c r="G165" s="8">
        <f>SUMIFS('Opening Balances'!$I$5:$I$14,'Opening Balances'!$B$5:$B$14,C165)</f>
        <v>925000</v>
      </c>
      <c r="H165" s="8">
        <f>SUMIFS('Cash Flow Ledger'!$G$5:$G$135,'Cash Flow Ledger'!$A$5:$A$135,B165,'Cash Flow Ledger'!$B$5:$B$135,C165)</f>
        <v>10000</v>
      </c>
      <c r="I165" s="8">
        <f>IF(AND(C165="E004",B165=SUMIF('Scenario Assumptions'!$A$5:$A$7,A165,'Scenario Assumptions'!$B$5:$B$7)),SUMIF('Scenario Assumptions'!$A$5:$A$7,A165,'Scenario Assumptions'!$C$5:$C$7),0)</f>
        <v>0</v>
      </c>
      <c r="J165" s="8">
        <f>IF(AND(C165="E004",B165=SUMIF('Scenario Assumptions'!$A$5:$A$7,A165,'Scenario Assumptions'!$D$5:$D$7)), -SUMIF('Scenario Assumptions'!$A$5:$A$7,A165,'Scenario Assumptions'!$E$5:$E$7),0)</f>
        <v>0</v>
      </c>
      <c r="K165" s="5">
        <v>0</v>
      </c>
      <c r="L165" s="8">
        <f t="shared" ref="L165:L196" si="36">G165+H165+I165+J165+K165</f>
        <v>935000</v>
      </c>
      <c r="M165" s="8">
        <f>SUMIF(Entities!$A$5:$A$10,C165,Entities!$D$5:$D$10)</f>
        <v>300000</v>
      </c>
      <c r="N165" s="8">
        <f t="shared" ref="N165:N196" si="37">L165-M165</f>
        <v>635000</v>
      </c>
      <c r="O165" s="8">
        <f t="shared" ref="O165:O184" si="38">L165*F165</f>
        <v>688627.5</v>
      </c>
      <c r="P165" t="str">
        <f t="shared" ref="P165:P184" si="39">IF(L165&lt;0,"NEGATIVE",IF(L165&lt;M165,"BELOW MINIMUM","OK"))</f>
        <v>OK</v>
      </c>
    </row>
    <row r="166" spans="1:16" x14ac:dyDescent="0.25">
      <c r="A166" s="12" t="s">
        <v>180</v>
      </c>
      <c r="B166" s="9">
        <v>46266</v>
      </c>
      <c r="C166" s="12" t="s">
        <v>45</v>
      </c>
      <c r="D166" s="12" t="s">
        <v>46</v>
      </c>
      <c r="E166" s="12" t="s">
        <v>47</v>
      </c>
      <c r="F166" s="13">
        <f>SUMIF('Approved FX'!$A$5:$A$7,E166,'Approved FX'!$B$5:$B$7)</f>
        <v>0.73650000000000004</v>
      </c>
      <c r="G166" s="8">
        <f t="shared" ref="G166:G174" si="40">L165</f>
        <v>935000</v>
      </c>
      <c r="H166" s="8">
        <f>SUMIFS('Cash Flow Ledger'!$G$5:$G$135,'Cash Flow Ledger'!$A$5:$A$135,B166,'Cash Flow Ledger'!$B$5:$B$135,C166)</f>
        <v>15000</v>
      </c>
      <c r="I166" s="8">
        <f>IF(AND(C166="E004",B166=SUMIF('Scenario Assumptions'!$A$5:$A$7,A166,'Scenario Assumptions'!$B$5:$B$7)),SUMIF('Scenario Assumptions'!$A$5:$A$7,A166,'Scenario Assumptions'!$C$5:$C$7),0)</f>
        <v>0</v>
      </c>
      <c r="J166" s="8">
        <f>IF(AND(C166="E004",B166=SUMIF('Scenario Assumptions'!$A$5:$A$7,A166,'Scenario Assumptions'!$D$5:$D$7)), -SUMIF('Scenario Assumptions'!$A$5:$A$7,A166,'Scenario Assumptions'!$E$5:$E$7),0)</f>
        <v>0</v>
      </c>
      <c r="K166" s="5">
        <v>0</v>
      </c>
      <c r="L166" s="8">
        <f t="shared" si="36"/>
        <v>950000</v>
      </c>
      <c r="M166" s="8">
        <f>SUMIF(Entities!$A$5:$A$10,C166,Entities!$D$5:$D$10)</f>
        <v>300000</v>
      </c>
      <c r="N166" s="8">
        <f t="shared" si="37"/>
        <v>650000</v>
      </c>
      <c r="O166" s="8">
        <f t="shared" si="38"/>
        <v>699675</v>
      </c>
      <c r="P166" t="str">
        <f t="shared" si="39"/>
        <v>OK</v>
      </c>
    </row>
    <row r="167" spans="1:16" x14ac:dyDescent="0.25">
      <c r="A167" s="12" t="s">
        <v>180</v>
      </c>
      <c r="B167" s="9">
        <v>46267</v>
      </c>
      <c r="C167" s="12" t="s">
        <v>45</v>
      </c>
      <c r="D167" s="12" t="s">
        <v>46</v>
      </c>
      <c r="E167" s="12" t="s">
        <v>47</v>
      </c>
      <c r="F167" s="13">
        <f>SUMIF('Approved FX'!$A$5:$A$7,E167,'Approved FX'!$B$5:$B$7)</f>
        <v>0.73650000000000004</v>
      </c>
      <c r="G167" s="8">
        <f t="shared" si="40"/>
        <v>950000</v>
      </c>
      <c r="H167" s="8">
        <f>SUMIFS('Cash Flow Ledger'!$G$5:$G$135,'Cash Flow Ledger'!$A$5:$A$135,B167,'Cash Flow Ledger'!$B$5:$B$135,C167)</f>
        <v>20000</v>
      </c>
      <c r="I167" s="8">
        <f>IF(AND(C167="E004",B167=SUMIF('Scenario Assumptions'!$A$5:$A$7,A167,'Scenario Assumptions'!$B$5:$B$7)),SUMIF('Scenario Assumptions'!$A$5:$A$7,A167,'Scenario Assumptions'!$C$5:$C$7),0)</f>
        <v>0</v>
      </c>
      <c r="J167" s="8">
        <f>IF(AND(C167="E004",B167=SUMIF('Scenario Assumptions'!$A$5:$A$7,A167,'Scenario Assumptions'!$D$5:$D$7)), -SUMIF('Scenario Assumptions'!$A$5:$A$7,A167,'Scenario Assumptions'!$E$5:$E$7),0)</f>
        <v>0</v>
      </c>
      <c r="K167" s="5">
        <v>0</v>
      </c>
      <c r="L167" s="8">
        <f t="shared" si="36"/>
        <v>970000</v>
      </c>
      <c r="M167" s="8">
        <f>SUMIF(Entities!$A$5:$A$10,C167,Entities!$D$5:$D$10)</f>
        <v>300000</v>
      </c>
      <c r="N167" s="8">
        <f t="shared" si="37"/>
        <v>670000</v>
      </c>
      <c r="O167" s="8">
        <f t="shared" si="38"/>
        <v>714405</v>
      </c>
      <c r="P167" t="str">
        <f t="shared" si="39"/>
        <v>OK</v>
      </c>
    </row>
    <row r="168" spans="1:16" x14ac:dyDescent="0.25">
      <c r="A168" s="12" t="s">
        <v>180</v>
      </c>
      <c r="B168" s="9">
        <v>46268</v>
      </c>
      <c r="C168" s="12" t="s">
        <v>45</v>
      </c>
      <c r="D168" s="12" t="s">
        <v>46</v>
      </c>
      <c r="E168" s="12" t="s">
        <v>47</v>
      </c>
      <c r="F168" s="13">
        <f>SUMIF('Approved FX'!$A$5:$A$7,E168,'Approved FX'!$B$5:$B$7)</f>
        <v>0.73650000000000004</v>
      </c>
      <c r="G168" s="8">
        <f t="shared" si="40"/>
        <v>970000</v>
      </c>
      <c r="H168" s="8">
        <f>SUMIFS('Cash Flow Ledger'!$G$5:$G$135,'Cash Flow Ledger'!$A$5:$A$135,B168,'Cash Flow Ledger'!$B$5:$B$135,C168)</f>
        <v>-20000</v>
      </c>
      <c r="I168" s="8">
        <f>IF(AND(C168="E004",B168=SUMIF('Scenario Assumptions'!$A$5:$A$7,A168,'Scenario Assumptions'!$B$5:$B$7)),SUMIF('Scenario Assumptions'!$A$5:$A$7,A168,'Scenario Assumptions'!$C$5:$C$7),0)</f>
        <v>0</v>
      </c>
      <c r="J168" s="8">
        <f>IF(AND(C168="E004",B168=SUMIF('Scenario Assumptions'!$A$5:$A$7,A168,'Scenario Assumptions'!$D$5:$D$7)), -SUMIF('Scenario Assumptions'!$A$5:$A$7,A168,'Scenario Assumptions'!$E$5:$E$7),0)</f>
        <v>0</v>
      </c>
      <c r="K168" s="5">
        <v>0</v>
      </c>
      <c r="L168" s="8">
        <f t="shared" si="36"/>
        <v>950000</v>
      </c>
      <c r="M168" s="8">
        <f>SUMIF(Entities!$A$5:$A$10,C168,Entities!$D$5:$D$10)</f>
        <v>300000</v>
      </c>
      <c r="N168" s="8">
        <f t="shared" si="37"/>
        <v>650000</v>
      </c>
      <c r="O168" s="8">
        <f t="shared" si="38"/>
        <v>699675</v>
      </c>
      <c r="P168" t="str">
        <f t="shared" si="39"/>
        <v>OK</v>
      </c>
    </row>
    <row r="169" spans="1:16" x14ac:dyDescent="0.25">
      <c r="A169" s="12" t="s">
        <v>180</v>
      </c>
      <c r="B169" s="9">
        <v>46269</v>
      </c>
      <c r="C169" s="12" t="s">
        <v>45</v>
      </c>
      <c r="D169" s="12" t="s">
        <v>46</v>
      </c>
      <c r="E169" s="12" t="s">
        <v>47</v>
      </c>
      <c r="F169" s="13">
        <f>SUMIF('Approved FX'!$A$5:$A$7,E169,'Approved FX'!$B$5:$B$7)</f>
        <v>0.73650000000000004</v>
      </c>
      <c r="G169" s="8">
        <f t="shared" si="40"/>
        <v>950000</v>
      </c>
      <c r="H169" s="8">
        <f>SUMIFS('Cash Flow Ledger'!$G$5:$G$135,'Cash Flow Ledger'!$A$5:$A$135,B169,'Cash Flow Ledger'!$B$5:$B$135,C169)</f>
        <v>25000</v>
      </c>
      <c r="I169" s="8">
        <f>IF(AND(C169="E004",B169=SUMIF('Scenario Assumptions'!$A$5:$A$7,A169,'Scenario Assumptions'!$B$5:$B$7)),SUMIF('Scenario Assumptions'!$A$5:$A$7,A169,'Scenario Assumptions'!$C$5:$C$7),0)</f>
        <v>0</v>
      </c>
      <c r="J169" s="8">
        <f>IF(AND(C169="E004",B169=SUMIF('Scenario Assumptions'!$A$5:$A$7,A169,'Scenario Assumptions'!$D$5:$D$7)), -SUMIF('Scenario Assumptions'!$A$5:$A$7,A169,'Scenario Assumptions'!$E$5:$E$7),0)</f>
        <v>0</v>
      </c>
      <c r="K169" s="5">
        <v>0</v>
      </c>
      <c r="L169" s="8">
        <f t="shared" si="36"/>
        <v>975000</v>
      </c>
      <c r="M169" s="8">
        <f>SUMIF(Entities!$A$5:$A$10,C169,Entities!$D$5:$D$10)</f>
        <v>300000</v>
      </c>
      <c r="N169" s="8">
        <f t="shared" si="37"/>
        <v>675000</v>
      </c>
      <c r="O169" s="8">
        <f t="shared" si="38"/>
        <v>718087.5</v>
      </c>
      <c r="P169" t="str">
        <f t="shared" si="39"/>
        <v>OK</v>
      </c>
    </row>
    <row r="170" spans="1:16" x14ac:dyDescent="0.25">
      <c r="A170" s="12" t="s">
        <v>180</v>
      </c>
      <c r="B170" s="9">
        <v>46270</v>
      </c>
      <c r="C170" s="12" t="s">
        <v>45</v>
      </c>
      <c r="D170" s="12" t="s">
        <v>46</v>
      </c>
      <c r="E170" s="12" t="s">
        <v>47</v>
      </c>
      <c r="F170" s="13">
        <f>SUMIF('Approved FX'!$A$5:$A$7,E170,'Approved FX'!$B$5:$B$7)</f>
        <v>0.73650000000000004</v>
      </c>
      <c r="G170" s="8">
        <f t="shared" si="40"/>
        <v>975000</v>
      </c>
      <c r="H170" s="8">
        <f>SUMIFS('Cash Flow Ledger'!$G$5:$G$135,'Cash Flow Ledger'!$A$5:$A$135,B170,'Cash Flow Ledger'!$B$5:$B$135,C170)</f>
        <v>30000</v>
      </c>
      <c r="I170" s="8">
        <f>IF(AND(C170="E004",B170=SUMIF('Scenario Assumptions'!$A$5:$A$7,A170,'Scenario Assumptions'!$B$5:$B$7)),SUMIF('Scenario Assumptions'!$A$5:$A$7,A170,'Scenario Assumptions'!$C$5:$C$7),0)</f>
        <v>0</v>
      </c>
      <c r="J170" s="8">
        <f>IF(AND(C170="E004",B170=SUMIF('Scenario Assumptions'!$A$5:$A$7,A170,'Scenario Assumptions'!$D$5:$D$7)), -SUMIF('Scenario Assumptions'!$A$5:$A$7,A170,'Scenario Assumptions'!$E$5:$E$7),0)</f>
        <v>0</v>
      </c>
      <c r="K170" s="5">
        <v>0</v>
      </c>
      <c r="L170" s="8">
        <f t="shared" si="36"/>
        <v>1005000</v>
      </c>
      <c r="M170" s="8">
        <f>SUMIF(Entities!$A$5:$A$10,C170,Entities!$D$5:$D$10)</f>
        <v>300000</v>
      </c>
      <c r="N170" s="8">
        <f t="shared" si="37"/>
        <v>705000</v>
      </c>
      <c r="O170" s="8">
        <f t="shared" si="38"/>
        <v>740182.5</v>
      </c>
      <c r="P170" t="str">
        <f t="shared" si="39"/>
        <v>OK</v>
      </c>
    </row>
    <row r="171" spans="1:16" x14ac:dyDescent="0.25">
      <c r="A171" s="12" t="s">
        <v>180</v>
      </c>
      <c r="B171" s="9">
        <v>46271</v>
      </c>
      <c r="C171" s="12" t="s">
        <v>45</v>
      </c>
      <c r="D171" s="12" t="s">
        <v>46</v>
      </c>
      <c r="E171" s="12" t="s">
        <v>47</v>
      </c>
      <c r="F171" s="13">
        <f>SUMIF('Approved FX'!$A$5:$A$7,E171,'Approved FX'!$B$5:$B$7)</f>
        <v>0.73650000000000004</v>
      </c>
      <c r="G171" s="8">
        <f t="shared" si="40"/>
        <v>1005000</v>
      </c>
      <c r="H171" s="8">
        <f>SUMIFS('Cash Flow Ledger'!$G$5:$G$135,'Cash Flow Ledger'!$A$5:$A$135,B171,'Cash Flow Ledger'!$B$5:$B$135,C171)</f>
        <v>-10000</v>
      </c>
      <c r="I171" s="8">
        <f>IF(AND(C171="E004",B171=SUMIF('Scenario Assumptions'!$A$5:$A$7,A171,'Scenario Assumptions'!$B$5:$B$7)),SUMIF('Scenario Assumptions'!$A$5:$A$7,A171,'Scenario Assumptions'!$C$5:$C$7),0)</f>
        <v>0</v>
      </c>
      <c r="J171" s="8">
        <f>IF(AND(C171="E004",B171=SUMIF('Scenario Assumptions'!$A$5:$A$7,A171,'Scenario Assumptions'!$D$5:$D$7)), -SUMIF('Scenario Assumptions'!$A$5:$A$7,A171,'Scenario Assumptions'!$E$5:$E$7),0)</f>
        <v>0</v>
      </c>
      <c r="K171" s="5">
        <v>0</v>
      </c>
      <c r="L171" s="8">
        <f t="shared" si="36"/>
        <v>995000</v>
      </c>
      <c r="M171" s="8">
        <f>SUMIF(Entities!$A$5:$A$10,C171,Entities!$D$5:$D$10)</f>
        <v>300000</v>
      </c>
      <c r="N171" s="8">
        <f t="shared" si="37"/>
        <v>695000</v>
      </c>
      <c r="O171" s="8">
        <f t="shared" si="38"/>
        <v>732817.5</v>
      </c>
      <c r="P171" t="str">
        <f t="shared" si="39"/>
        <v>OK</v>
      </c>
    </row>
    <row r="172" spans="1:16" x14ac:dyDescent="0.25">
      <c r="A172" s="12" t="s">
        <v>180</v>
      </c>
      <c r="B172" s="9">
        <v>46272</v>
      </c>
      <c r="C172" s="12" t="s">
        <v>45</v>
      </c>
      <c r="D172" s="12" t="s">
        <v>46</v>
      </c>
      <c r="E172" s="12" t="s">
        <v>47</v>
      </c>
      <c r="F172" s="13">
        <f>SUMIF('Approved FX'!$A$5:$A$7,E172,'Approved FX'!$B$5:$B$7)</f>
        <v>0.73650000000000004</v>
      </c>
      <c r="G172" s="8">
        <f t="shared" si="40"/>
        <v>995000</v>
      </c>
      <c r="H172" s="8">
        <f>SUMIFS('Cash Flow Ledger'!$G$5:$G$135,'Cash Flow Ledger'!$A$5:$A$135,B172,'Cash Flow Ledger'!$B$5:$B$135,C172)</f>
        <v>-5000</v>
      </c>
      <c r="I172" s="8">
        <f>IF(AND(C172="E004",B172=SUMIF('Scenario Assumptions'!$A$5:$A$7,A172,'Scenario Assumptions'!$B$5:$B$7)),SUMIF('Scenario Assumptions'!$A$5:$A$7,A172,'Scenario Assumptions'!$C$5:$C$7),0)</f>
        <v>0</v>
      </c>
      <c r="J172" s="8">
        <f>IF(AND(C172="E004",B172=SUMIF('Scenario Assumptions'!$A$5:$A$7,A172,'Scenario Assumptions'!$D$5:$D$7)), -SUMIF('Scenario Assumptions'!$A$5:$A$7,A172,'Scenario Assumptions'!$E$5:$E$7),0)</f>
        <v>0</v>
      </c>
      <c r="K172" s="5">
        <v>0</v>
      </c>
      <c r="L172" s="8">
        <f t="shared" si="36"/>
        <v>990000</v>
      </c>
      <c r="M172" s="8">
        <f>SUMIF(Entities!$A$5:$A$10,C172,Entities!$D$5:$D$10)</f>
        <v>300000</v>
      </c>
      <c r="N172" s="8">
        <f t="shared" si="37"/>
        <v>690000</v>
      </c>
      <c r="O172" s="8">
        <f t="shared" si="38"/>
        <v>729135</v>
      </c>
      <c r="P172" t="str">
        <f t="shared" si="39"/>
        <v>OK</v>
      </c>
    </row>
    <row r="173" spans="1:16" x14ac:dyDescent="0.25">
      <c r="A173" s="12" t="s">
        <v>180</v>
      </c>
      <c r="B173" s="9">
        <v>46273</v>
      </c>
      <c r="C173" s="12" t="s">
        <v>45</v>
      </c>
      <c r="D173" s="12" t="s">
        <v>46</v>
      </c>
      <c r="E173" s="12" t="s">
        <v>47</v>
      </c>
      <c r="F173" s="13">
        <f>SUMIF('Approved FX'!$A$5:$A$7,E173,'Approved FX'!$B$5:$B$7)</f>
        <v>0.73650000000000004</v>
      </c>
      <c r="G173" s="8">
        <f t="shared" si="40"/>
        <v>990000</v>
      </c>
      <c r="H173" s="8">
        <f>SUMIFS('Cash Flow Ledger'!$G$5:$G$135,'Cash Flow Ledger'!$A$5:$A$135,B173,'Cash Flow Ledger'!$B$5:$B$135,C173)</f>
        <v>-105000</v>
      </c>
      <c r="I173" s="8">
        <f>IF(AND(C173="E004",B173=SUMIF('Scenario Assumptions'!$A$5:$A$7,A173,'Scenario Assumptions'!$B$5:$B$7)),SUMIF('Scenario Assumptions'!$A$5:$A$7,A173,'Scenario Assumptions'!$C$5:$C$7),0)</f>
        <v>0</v>
      </c>
      <c r="J173" s="8">
        <f>IF(AND(C173="E004",B173=SUMIF('Scenario Assumptions'!$A$5:$A$7,A173,'Scenario Assumptions'!$D$5:$D$7)), -SUMIF('Scenario Assumptions'!$A$5:$A$7,A173,'Scenario Assumptions'!$E$5:$E$7),0)</f>
        <v>0</v>
      </c>
      <c r="K173" s="5">
        <v>0</v>
      </c>
      <c r="L173" s="8">
        <f t="shared" si="36"/>
        <v>885000</v>
      </c>
      <c r="M173" s="8">
        <f>SUMIF(Entities!$A$5:$A$10,C173,Entities!$D$5:$D$10)</f>
        <v>300000</v>
      </c>
      <c r="N173" s="8">
        <f t="shared" si="37"/>
        <v>585000</v>
      </c>
      <c r="O173" s="8">
        <f t="shared" si="38"/>
        <v>651802.5</v>
      </c>
      <c r="P173" t="str">
        <f t="shared" si="39"/>
        <v>OK</v>
      </c>
    </row>
    <row r="174" spans="1:16" x14ac:dyDescent="0.25">
      <c r="A174" s="12" t="s">
        <v>180</v>
      </c>
      <c r="B174" s="9">
        <v>46274</v>
      </c>
      <c r="C174" s="12" t="s">
        <v>45</v>
      </c>
      <c r="D174" s="12" t="s">
        <v>46</v>
      </c>
      <c r="E174" s="12" t="s">
        <v>47</v>
      </c>
      <c r="F174" s="13">
        <f>SUMIF('Approved FX'!$A$5:$A$7,E174,'Approved FX'!$B$5:$B$7)</f>
        <v>0.73650000000000004</v>
      </c>
      <c r="G174" s="8">
        <f t="shared" si="40"/>
        <v>885000</v>
      </c>
      <c r="H174" s="8">
        <f>SUMIFS('Cash Flow Ledger'!$G$5:$G$135,'Cash Flow Ledger'!$A$5:$A$135,B174,'Cash Flow Ledger'!$B$5:$B$135,C174)</f>
        <v>0</v>
      </c>
      <c r="I174" s="8">
        <f>IF(AND(C174="E004",B174=SUMIF('Scenario Assumptions'!$A$5:$A$7,A174,'Scenario Assumptions'!$B$5:$B$7)),SUMIF('Scenario Assumptions'!$A$5:$A$7,A174,'Scenario Assumptions'!$C$5:$C$7),0)</f>
        <v>0</v>
      </c>
      <c r="J174" s="8">
        <f>IF(AND(C174="E004",B174=SUMIF('Scenario Assumptions'!$A$5:$A$7,A174,'Scenario Assumptions'!$D$5:$D$7)), -SUMIF('Scenario Assumptions'!$A$5:$A$7,A174,'Scenario Assumptions'!$E$5:$E$7),0)</f>
        <v>0</v>
      </c>
      <c r="K174" s="5">
        <v>0</v>
      </c>
      <c r="L174" s="8">
        <f t="shared" si="36"/>
        <v>885000</v>
      </c>
      <c r="M174" s="8">
        <f>SUMIF(Entities!$A$5:$A$10,C174,Entities!$D$5:$D$10)</f>
        <v>300000</v>
      </c>
      <c r="N174" s="8">
        <f t="shared" si="37"/>
        <v>585000</v>
      </c>
      <c r="O174" s="8">
        <f t="shared" si="38"/>
        <v>651802.5</v>
      </c>
      <c r="P174" t="str">
        <f t="shared" si="39"/>
        <v>OK</v>
      </c>
    </row>
    <row r="175" spans="1:16" x14ac:dyDescent="0.25">
      <c r="A175" s="12" t="s">
        <v>180</v>
      </c>
      <c r="B175" s="9">
        <v>46265</v>
      </c>
      <c r="C175" s="12" t="s">
        <v>48</v>
      </c>
      <c r="D175" s="12" t="s">
        <v>49</v>
      </c>
      <c r="E175" s="12" t="s">
        <v>50</v>
      </c>
      <c r="F175" s="13">
        <f>SUMIF('Approved FX'!$A$5:$A$7,E175,'Approved FX'!$B$5:$B$7)</f>
        <v>1.1739999999999999</v>
      </c>
      <c r="G175" s="8">
        <f>SUMIFS('Opening Balances'!$I$5:$I$14,'Opening Balances'!$B$5:$B$14,C175)</f>
        <v>725000</v>
      </c>
      <c r="H175" s="8">
        <f>SUMIFS('Cash Flow Ledger'!$G$5:$G$135,'Cash Flow Ledger'!$A$5:$A$135,B175,'Cash Flow Ledger'!$B$5:$B$135,C175)</f>
        <v>15000</v>
      </c>
      <c r="I175" s="8">
        <f>IF(AND(C175="E004",B175=SUMIF('Scenario Assumptions'!$A$5:$A$7,A175,'Scenario Assumptions'!$B$5:$B$7)),SUMIF('Scenario Assumptions'!$A$5:$A$7,A175,'Scenario Assumptions'!$C$5:$C$7),0)</f>
        <v>0</v>
      </c>
      <c r="J175" s="8">
        <f>IF(AND(C175="E004",B175=SUMIF('Scenario Assumptions'!$A$5:$A$7,A175,'Scenario Assumptions'!$D$5:$D$7)), -SUMIF('Scenario Assumptions'!$A$5:$A$7,A175,'Scenario Assumptions'!$E$5:$E$7),0)</f>
        <v>0</v>
      </c>
      <c r="K175" s="5">
        <v>0</v>
      </c>
      <c r="L175" s="8">
        <f t="shared" si="36"/>
        <v>740000</v>
      </c>
      <c r="M175" s="8">
        <f>SUMIF(Entities!$A$5:$A$10,C175,Entities!$D$5:$D$10)</f>
        <v>400000</v>
      </c>
      <c r="N175" s="8">
        <f t="shared" si="37"/>
        <v>340000</v>
      </c>
      <c r="O175" s="8">
        <f t="shared" si="38"/>
        <v>868760</v>
      </c>
      <c r="P175" t="str">
        <f t="shared" si="39"/>
        <v>OK</v>
      </c>
    </row>
    <row r="176" spans="1:16" x14ac:dyDescent="0.25">
      <c r="A176" s="12" t="s">
        <v>180</v>
      </c>
      <c r="B176" s="9">
        <v>46266</v>
      </c>
      <c r="C176" s="12" t="s">
        <v>48</v>
      </c>
      <c r="D176" s="12" t="s">
        <v>49</v>
      </c>
      <c r="E176" s="12" t="s">
        <v>50</v>
      </c>
      <c r="F176" s="13">
        <f>SUMIF('Approved FX'!$A$5:$A$7,E176,'Approved FX'!$B$5:$B$7)</f>
        <v>1.1739999999999999</v>
      </c>
      <c r="G176" s="8">
        <f t="shared" ref="G176:G184" si="41">L175</f>
        <v>740000</v>
      </c>
      <c r="H176" s="8">
        <f>SUMIFS('Cash Flow Ledger'!$G$5:$G$135,'Cash Flow Ledger'!$A$5:$A$135,B176,'Cash Flow Ledger'!$B$5:$B$135,C176)</f>
        <v>-27500</v>
      </c>
      <c r="I176" s="8">
        <f>IF(AND(C176="E004",B176=SUMIF('Scenario Assumptions'!$A$5:$A$7,A176,'Scenario Assumptions'!$B$5:$B$7)),SUMIF('Scenario Assumptions'!$A$5:$A$7,A176,'Scenario Assumptions'!$C$5:$C$7),0)</f>
        <v>0</v>
      </c>
      <c r="J176" s="8">
        <f>IF(AND(C176="E004",B176=SUMIF('Scenario Assumptions'!$A$5:$A$7,A176,'Scenario Assumptions'!$D$5:$D$7)), -SUMIF('Scenario Assumptions'!$A$5:$A$7,A176,'Scenario Assumptions'!$E$5:$E$7),0)</f>
        <v>0</v>
      </c>
      <c r="K176" s="5">
        <v>0</v>
      </c>
      <c r="L176" s="8">
        <f t="shared" si="36"/>
        <v>712500</v>
      </c>
      <c r="M176" s="8">
        <f>SUMIF(Entities!$A$5:$A$10,C176,Entities!$D$5:$D$10)</f>
        <v>400000</v>
      </c>
      <c r="N176" s="8">
        <f t="shared" si="37"/>
        <v>312500</v>
      </c>
      <c r="O176" s="8">
        <f t="shared" si="38"/>
        <v>836475</v>
      </c>
      <c r="P176" t="str">
        <f t="shared" si="39"/>
        <v>OK</v>
      </c>
    </row>
    <row r="177" spans="1:16" x14ac:dyDescent="0.25">
      <c r="A177" s="12" t="s">
        <v>180</v>
      </c>
      <c r="B177" s="9">
        <v>46267</v>
      </c>
      <c r="C177" s="12" t="s">
        <v>48</v>
      </c>
      <c r="D177" s="12" t="s">
        <v>49</v>
      </c>
      <c r="E177" s="12" t="s">
        <v>50</v>
      </c>
      <c r="F177" s="13">
        <f>SUMIF('Approved FX'!$A$5:$A$7,E177,'Approved FX'!$B$5:$B$7)</f>
        <v>1.1739999999999999</v>
      </c>
      <c r="G177" s="8">
        <f t="shared" si="41"/>
        <v>712500</v>
      </c>
      <c r="H177" s="8">
        <f>SUMIFS('Cash Flow Ledger'!$G$5:$G$135,'Cash Flow Ledger'!$A$5:$A$135,B177,'Cash Flow Ledger'!$B$5:$B$135,C177)</f>
        <v>15000</v>
      </c>
      <c r="I177" s="8">
        <f>IF(AND(C177="E004",B177=SUMIF('Scenario Assumptions'!$A$5:$A$7,A177,'Scenario Assumptions'!$B$5:$B$7)),SUMIF('Scenario Assumptions'!$A$5:$A$7,A177,'Scenario Assumptions'!$C$5:$C$7),0)</f>
        <v>0</v>
      </c>
      <c r="J177" s="8">
        <f>IF(AND(C177="E004",B177=SUMIF('Scenario Assumptions'!$A$5:$A$7,A177,'Scenario Assumptions'!$D$5:$D$7)), -SUMIF('Scenario Assumptions'!$A$5:$A$7,A177,'Scenario Assumptions'!$E$5:$E$7),0)</f>
        <v>0</v>
      </c>
      <c r="K177" s="5">
        <v>0</v>
      </c>
      <c r="L177" s="8">
        <f t="shared" si="36"/>
        <v>727500</v>
      </c>
      <c r="M177" s="8">
        <f>SUMIF(Entities!$A$5:$A$10,C177,Entities!$D$5:$D$10)</f>
        <v>400000</v>
      </c>
      <c r="N177" s="8">
        <f t="shared" si="37"/>
        <v>327500</v>
      </c>
      <c r="O177" s="8">
        <f t="shared" si="38"/>
        <v>854085</v>
      </c>
      <c r="P177" t="str">
        <f t="shared" si="39"/>
        <v>OK</v>
      </c>
    </row>
    <row r="178" spans="1:16" x14ac:dyDescent="0.25">
      <c r="A178" s="12" t="s">
        <v>180</v>
      </c>
      <c r="B178" s="9">
        <v>46268</v>
      </c>
      <c r="C178" s="12" t="s">
        <v>48</v>
      </c>
      <c r="D178" s="12" t="s">
        <v>49</v>
      </c>
      <c r="E178" s="12" t="s">
        <v>50</v>
      </c>
      <c r="F178" s="13">
        <f>SUMIF('Approved FX'!$A$5:$A$7,E178,'Approved FX'!$B$5:$B$7)</f>
        <v>1.1739999999999999</v>
      </c>
      <c r="G178" s="8">
        <f t="shared" si="41"/>
        <v>727500</v>
      </c>
      <c r="H178" s="8">
        <f>SUMIFS('Cash Flow Ledger'!$G$5:$G$135,'Cash Flow Ledger'!$A$5:$A$135,B178,'Cash Flow Ledger'!$B$5:$B$135,C178)</f>
        <v>-25000</v>
      </c>
      <c r="I178" s="8">
        <f>IF(AND(C178="E004",B178=SUMIF('Scenario Assumptions'!$A$5:$A$7,A178,'Scenario Assumptions'!$B$5:$B$7)),SUMIF('Scenario Assumptions'!$A$5:$A$7,A178,'Scenario Assumptions'!$C$5:$C$7),0)</f>
        <v>0</v>
      </c>
      <c r="J178" s="8">
        <f>IF(AND(C178="E004",B178=SUMIF('Scenario Assumptions'!$A$5:$A$7,A178,'Scenario Assumptions'!$D$5:$D$7)), -SUMIF('Scenario Assumptions'!$A$5:$A$7,A178,'Scenario Assumptions'!$E$5:$E$7),0)</f>
        <v>0</v>
      </c>
      <c r="K178" s="5">
        <v>0</v>
      </c>
      <c r="L178" s="8">
        <f t="shared" si="36"/>
        <v>702500</v>
      </c>
      <c r="M178" s="8">
        <f>SUMIF(Entities!$A$5:$A$10,C178,Entities!$D$5:$D$10)</f>
        <v>400000</v>
      </c>
      <c r="N178" s="8">
        <f t="shared" si="37"/>
        <v>302500</v>
      </c>
      <c r="O178" s="8">
        <f t="shared" si="38"/>
        <v>824735</v>
      </c>
      <c r="P178" t="str">
        <f t="shared" si="39"/>
        <v>OK</v>
      </c>
    </row>
    <row r="179" spans="1:16" x14ac:dyDescent="0.25">
      <c r="A179" s="12" t="s">
        <v>180</v>
      </c>
      <c r="B179" s="9">
        <v>46269</v>
      </c>
      <c r="C179" s="12" t="s">
        <v>48</v>
      </c>
      <c r="D179" s="12" t="s">
        <v>49</v>
      </c>
      <c r="E179" s="12" t="s">
        <v>50</v>
      </c>
      <c r="F179" s="13">
        <f>SUMIF('Approved FX'!$A$5:$A$7,E179,'Approved FX'!$B$5:$B$7)</f>
        <v>1.1739999999999999</v>
      </c>
      <c r="G179" s="8">
        <f t="shared" si="41"/>
        <v>702500</v>
      </c>
      <c r="H179" s="8">
        <f>SUMIFS('Cash Flow Ledger'!$G$5:$G$135,'Cash Flow Ledger'!$A$5:$A$135,B179,'Cash Flow Ledger'!$B$5:$B$135,C179)</f>
        <v>15000</v>
      </c>
      <c r="I179" s="8">
        <f>IF(AND(C179="E004",B179=SUMIF('Scenario Assumptions'!$A$5:$A$7,A179,'Scenario Assumptions'!$B$5:$B$7)),SUMIF('Scenario Assumptions'!$A$5:$A$7,A179,'Scenario Assumptions'!$C$5:$C$7),0)</f>
        <v>0</v>
      </c>
      <c r="J179" s="8">
        <f>IF(AND(C179="E004",B179=SUMIF('Scenario Assumptions'!$A$5:$A$7,A179,'Scenario Assumptions'!$D$5:$D$7)), -SUMIF('Scenario Assumptions'!$A$5:$A$7,A179,'Scenario Assumptions'!$E$5:$E$7),0)</f>
        <v>0</v>
      </c>
      <c r="K179" s="5">
        <v>0</v>
      </c>
      <c r="L179" s="8">
        <f t="shared" si="36"/>
        <v>717500</v>
      </c>
      <c r="M179" s="8">
        <f>SUMIF(Entities!$A$5:$A$10,C179,Entities!$D$5:$D$10)</f>
        <v>400000</v>
      </c>
      <c r="N179" s="8">
        <f t="shared" si="37"/>
        <v>317500</v>
      </c>
      <c r="O179" s="8">
        <f t="shared" si="38"/>
        <v>842345</v>
      </c>
      <c r="P179" t="str">
        <f t="shared" si="39"/>
        <v>OK</v>
      </c>
    </row>
    <row r="180" spans="1:16" x14ac:dyDescent="0.25">
      <c r="A180" s="12" t="s">
        <v>180</v>
      </c>
      <c r="B180" s="9">
        <v>46270</v>
      </c>
      <c r="C180" s="12" t="s">
        <v>48</v>
      </c>
      <c r="D180" s="12" t="s">
        <v>49</v>
      </c>
      <c r="E180" s="12" t="s">
        <v>50</v>
      </c>
      <c r="F180" s="13">
        <f>SUMIF('Approved FX'!$A$5:$A$7,E180,'Approved FX'!$B$5:$B$7)</f>
        <v>1.1739999999999999</v>
      </c>
      <c r="G180" s="8">
        <f t="shared" si="41"/>
        <v>717500</v>
      </c>
      <c r="H180" s="8">
        <f>SUMIFS('Cash Flow Ledger'!$G$5:$G$135,'Cash Flow Ledger'!$A$5:$A$135,B180,'Cash Flow Ledger'!$B$5:$B$135,C180)</f>
        <v>-25000</v>
      </c>
      <c r="I180" s="8">
        <f>IF(AND(C180="E004",B180=SUMIF('Scenario Assumptions'!$A$5:$A$7,A180,'Scenario Assumptions'!$B$5:$B$7)),SUMIF('Scenario Assumptions'!$A$5:$A$7,A180,'Scenario Assumptions'!$C$5:$C$7),0)</f>
        <v>0</v>
      </c>
      <c r="J180" s="8">
        <f>IF(AND(C180="E004",B180=SUMIF('Scenario Assumptions'!$A$5:$A$7,A180,'Scenario Assumptions'!$D$5:$D$7)), -SUMIF('Scenario Assumptions'!$A$5:$A$7,A180,'Scenario Assumptions'!$E$5:$E$7),0)</f>
        <v>0</v>
      </c>
      <c r="K180" s="5">
        <v>0</v>
      </c>
      <c r="L180" s="8">
        <f t="shared" si="36"/>
        <v>692500</v>
      </c>
      <c r="M180" s="8">
        <f>SUMIF(Entities!$A$5:$A$10,C180,Entities!$D$5:$D$10)</f>
        <v>400000</v>
      </c>
      <c r="N180" s="8">
        <f t="shared" si="37"/>
        <v>292500</v>
      </c>
      <c r="O180" s="8">
        <f t="shared" si="38"/>
        <v>812995</v>
      </c>
      <c r="P180" t="str">
        <f t="shared" si="39"/>
        <v>OK</v>
      </c>
    </row>
    <row r="181" spans="1:16" x14ac:dyDescent="0.25">
      <c r="A181" s="12" t="s">
        <v>180</v>
      </c>
      <c r="B181" s="9">
        <v>46271</v>
      </c>
      <c r="C181" s="12" t="s">
        <v>48</v>
      </c>
      <c r="D181" s="12" t="s">
        <v>49</v>
      </c>
      <c r="E181" s="12" t="s">
        <v>50</v>
      </c>
      <c r="F181" s="13">
        <f>SUMIF('Approved FX'!$A$5:$A$7,E181,'Approved FX'!$B$5:$B$7)</f>
        <v>1.1739999999999999</v>
      </c>
      <c r="G181" s="8">
        <f t="shared" si="41"/>
        <v>692500</v>
      </c>
      <c r="H181" s="8">
        <f>SUMIFS('Cash Flow Ledger'!$G$5:$G$135,'Cash Flow Ledger'!$A$5:$A$135,B181,'Cash Flow Ledger'!$B$5:$B$135,C181)</f>
        <v>15000</v>
      </c>
      <c r="I181" s="8">
        <f>IF(AND(C181="E004",B181=SUMIF('Scenario Assumptions'!$A$5:$A$7,A181,'Scenario Assumptions'!$B$5:$B$7)),SUMIF('Scenario Assumptions'!$A$5:$A$7,A181,'Scenario Assumptions'!$C$5:$C$7),0)</f>
        <v>0</v>
      </c>
      <c r="J181" s="8">
        <f>IF(AND(C181="E004",B181=SUMIF('Scenario Assumptions'!$A$5:$A$7,A181,'Scenario Assumptions'!$D$5:$D$7)), -SUMIF('Scenario Assumptions'!$A$5:$A$7,A181,'Scenario Assumptions'!$E$5:$E$7),0)</f>
        <v>0</v>
      </c>
      <c r="K181" s="5">
        <v>0</v>
      </c>
      <c r="L181" s="8">
        <f t="shared" si="36"/>
        <v>707500</v>
      </c>
      <c r="M181" s="8">
        <f>SUMIF(Entities!$A$5:$A$10,C181,Entities!$D$5:$D$10)</f>
        <v>400000</v>
      </c>
      <c r="N181" s="8">
        <f t="shared" si="37"/>
        <v>307500</v>
      </c>
      <c r="O181" s="8">
        <f t="shared" si="38"/>
        <v>830605</v>
      </c>
      <c r="P181" t="str">
        <f t="shared" si="39"/>
        <v>OK</v>
      </c>
    </row>
    <row r="182" spans="1:16" x14ac:dyDescent="0.25">
      <c r="A182" s="12" t="s">
        <v>180</v>
      </c>
      <c r="B182" s="9">
        <v>46272</v>
      </c>
      <c r="C182" s="12" t="s">
        <v>48</v>
      </c>
      <c r="D182" s="12" t="s">
        <v>49</v>
      </c>
      <c r="E182" s="12" t="s">
        <v>50</v>
      </c>
      <c r="F182" s="13">
        <f>SUMIF('Approved FX'!$A$5:$A$7,E182,'Approved FX'!$B$5:$B$7)</f>
        <v>1.1739999999999999</v>
      </c>
      <c r="G182" s="8">
        <f t="shared" si="41"/>
        <v>707500</v>
      </c>
      <c r="H182" s="8">
        <f>SUMIFS('Cash Flow Ledger'!$G$5:$G$135,'Cash Flow Ledger'!$A$5:$A$135,B182,'Cash Flow Ledger'!$B$5:$B$135,C182)</f>
        <v>-25000</v>
      </c>
      <c r="I182" s="8">
        <f>IF(AND(C182="E004",B182=SUMIF('Scenario Assumptions'!$A$5:$A$7,A182,'Scenario Assumptions'!$B$5:$B$7)),SUMIF('Scenario Assumptions'!$A$5:$A$7,A182,'Scenario Assumptions'!$C$5:$C$7),0)</f>
        <v>0</v>
      </c>
      <c r="J182" s="8">
        <f>IF(AND(C182="E004",B182=SUMIF('Scenario Assumptions'!$A$5:$A$7,A182,'Scenario Assumptions'!$D$5:$D$7)), -SUMIF('Scenario Assumptions'!$A$5:$A$7,A182,'Scenario Assumptions'!$E$5:$E$7),0)</f>
        <v>0</v>
      </c>
      <c r="K182" s="5">
        <v>0</v>
      </c>
      <c r="L182" s="8">
        <f t="shared" si="36"/>
        <v>682500</v>
      </c>
      <c r="M182" s="8">
        <f>SUMIF(Entities!$A$5:$A$10,C182,Entities!$D$5:$D$10)</f>
        <v>400000</v>
      </c>
      <c r="N182" s="8">
        <f t="shared" si="37"/>
        <v>282500</v>
      </c>
      <c r="O182" s="8">
        <f t="shared" si="38"/>
        <v>801255</v>
      </c>
      <c r="P182" t="str">
        <f t="shared" si="39"/>
        <v>OK</v>
      </c>
    </row>
    <row r="183" spans="1:16" x14ac:dyDescent="0.25">
      <c r="A183" s="12" t="s">
        <v>180</v>
      </c>
      <c r="B183" s="9">
        <v>46273</v>
      </c>
      <c r="C183" s="12" t="s">
        <v>48</v>
      </c>
      <c r="D183" s="12" t="s">
        <v>49</v>
      </c>
      <c r="E183" s="12" t="s">
        <v>50</v>
      </c>
      <c r="F183" s="13">
        <f>SUMIF('Approved FX'!$A$5:$A$7,E183,'Approved FX'!$B$5:$B$7)</f>
        <v>1.1739999999999999</v>
      </c>
      <c r="G183" s="8">
        <f t="shared" si="41"/>
        <v>682500</v>
      </c>
      <c r="H183" s="8">
        <f>SUMIFS('Cash Flow Ledger'!$G$5:$G$135,'Cash Flow Ledger'!$A$5:$A$135,B183,'Cash Flow Ledger'!$B$5:$B$135,C183)</f>
        <v>15000</v>
      </c>
      <c r="I183" s="8">
        <f>IF(AND(C183="E004",B183=SUMIF('Scenario Assumptions'!$A$5:$A$7,A183,'Scenario Assumptions'!$B$5:$B$7)),SUMIF('Scenario Assumptions'!$A$5:$A$7,A183,'Scenario Assumptions'!$C$5:$C$7),0)</f>
        <v>0</v>
      </c>
      <c r="J183" s="8">
        <f>IF(AND(C183="E004",B183=SUMIF('Scenario Assumptions'!$A$5:$A$7,A183,'Scenario Assumptions'!$D$5:$D$7)), -SUMIF('Scenario Assumptions'!$A$5:$A$7,A183,'Scenario Assumptions'!$E$5:$E$7),0)</f>
        <v>0</v>
      </c>
      <c r="K183" s="5">
        <v>0</v>
      </c>
      <c r="L183" s="8">
        <f t="shared" si="36"/>
        <v>697500</v>
      </c>
      <c r="M183" s="8">
        <f>SUMIF(Entities!$A$5:$A$10,C183,Entities!$D$5:$D$10)</f>
        <v>400000</v>
      </c>
      <c r="N183" s="8">
        <f t="shared" si="37"/>
        <v>297500</v>
      </c>
      <c r="O183" s="8">
        <f t="shared" si="38"/>
        <v>818865</v>
      </c>
      <c r="P183" t="str">
        <f t="shared" si="39"/>
        <v>OK</v>
      </c>
    </row>
    <row r="184" spans="1:16" x14ac:dyDescent="0.25">
      <c r="A184" s="12" t="s">
        <v>180</v>
      </c>
      <c r="B184" s="9">
        <v>46274</v>
      </c>
      <c r="C184" s="12" t="s">
        <v>48</v>
      </c>
      <c r="D184" s="12" t="s">
        <v>49</v>
      </c>
      <c r="E184" s="12" t="s">
        <v>50</v>
      </c>
      <c r="F184" s="13">
        <f>SUMIF('Approved FX'!$A$5:$A$7,E184,'Approved FX'!$B$5:$B$7)</f>
        <v>1.1739999999999999</v>
      </c>
      <c r="G184" s="8">
        <f t="shared" si="41"/>
        <v>697500</v>
      </c>
      <c r="H184" s="8">
        <f>SUMIFS('Cash Flow Ledger'!$G$5:$G$135,'Cash Flow Ledger'!$A$5:$A$135,B184,'Cash Flow Ledger'!$B$5:$B$135,C184)</f>
        <v>-300000</v>
      </c>
      <c r="I184" s="8">
        <f>IF(AND(C184="E004",B184=SUMIF('Scenario Assumptions'!$A$5:$A$7,A184,'Scenario Assumptions'!$B$5:$B$7)),SUMIF('Scenario Assumptions'!$A$5:$A$7,A184,'Scenario Assumptions'!$C$5:$C$7),0)</f>
        <v>0</v>
      </c>
      <c r="J184" s="8">
        <f>IF(AND(C184="E004",B184=SUMIF('Scenario Assumptions'!$A$5:$A$7,A184,'Scenario Assumptions'!$D$5:$D$7)), -SUMIF('Scenario Assumptions'!$A$5:$A$7,A184,'Scenario Assumptions'!$E$5:$E$7),0)</f>
        <v>0</v>
      </c>
      <c r="K184" s="5">
        <v>0</v>
      </c>
      <c r="L184" s="8">
        <f t="shared" si="36"/>
        <v>397500</v>
      </c>
      <c r="M184" s="8">
        <f>SUMIF(Entities!$A$5:$A$10,C184,Entities!$D$5:$D$10)</f>
        <v>400000</v>
      </c>
      <c r="N184" s="8">
        <f t="shared" si="37"/>
        <v>-2500</v>
      </c>
      <c r="O184" s="8">
        <f t="shared" si="38"/>
        <v>466665</v>
      </c>
      <c r="P184" t="str">
        <f t="shared" si="39"/>
        <v>BELOW MINIMUM</v>
      </c>
    </row>
  </sheetData>
  <mergeCells count="2">
    <mergeCell ref="A1:P1"/>
    <mergeCell ref="A2:P2"/>
  </mergeCells>
  <conditionalFormatting sqref="P5:P184">
    <cfRule type="expression" dxfId="4" priority="1">
      <formula>P5="NEGATIVE"</formula>
    </cfRule>
    <cfRule type="expression" dxfId="3" priority="2">
      <formula>P5="BELOW MINIMUM"</formula>
    </cfRule>
    <cfRule type="expression" dxfId="2" priority="3">
      <formula>P5="OK"</formula>
    </cfRule>
  </conditionalFormatting>
  <pageMargins left="0.7" right="0.7" top="0.75" bottom="0.75" header="0.3" footer="0.3"/>
  <drawing r:id="rId1"/>
  <legacy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7"/>
  <sheetViews>
    <sheetView showGridLines="0" workbookViewId="0">
      <selection activeCell="C8" sqref="C8"/>
    </sheetView>
  </sheetViews>
  <sheetFormatPr defaultRowHeight="15" x14ac:dyDescent="0.25"/>
  <cols>
    <col min="1" max="1" width="16" customWidth="1"/>
    <col min="2" max="2" width="22" customWidth="1"/>
    <col min="3" max="3" width="18" customWidth="1"/>
    <col min="4" max="4" width="28" customWidth="1"/>
    <col min="5" max="5" width="20" customWidth="1"/>
    <col min="6" max="6" width="16" customWidth="1"/>
    <col min="7" max="7" width="22" customWidth="1"/>
    <col min="8" max="8" width="32" customWidth="1"/>
  </cols>
  <sheetData>
    <row r="1" spans="1:8" ht="26.1" customHeight="1" x14ac:dyDescent="0.25">
      <c r="A1" s="22" t="s">
        <v>227</v>
      </c>
      <c r="B1" s="21"/>
      <c r="C1" s="21"/>
      <c r="D1" s="21"/>
      <c r="E1" s="21"/>
      <c r="F1" s="21"/>
      <c r="G1" s="21"/>
      <c r="H1" s="21"/>
    </row>
    <row r="2" spans="1:8" ht="30" customHeight="1" x14ac:dyDescent="0.25">
      <c r="A2" s="20" t="s">
        <v>228</v>
      </c>
      <c r="B2" s="21"/>
      <c r="C2" s="21"/>
      <c r="D2" s="21"/>
      <c r="E2" s="21"/>
      <c r="F2" s="21"/>
      <c r="G2" s="21"/>
      <c r="H2" s="21"/>
    </row>
    <row r="4" spans="1:8" ht="32.1" customHeight="1" x14ac:dyDescent="0.25">
      <c r="A4" s="1" t="s">
        <v>167</v>
      </c>
      <c r="B4" s="1" t="s">
        <v>229</v>
      </c>
      <c r="C4" s="1" t="s">
        <v>230</v>
      </c>
      <c r="D4" s="1" t="s">
        <v>231</v>
      </c>
      <c r="E4" s="1" t="s">
        <v>232</v>
      </c>
      <c r="F4" s="1" t="s">
        <v>233</v>
      </c>
      <c r="G4" s="1" t="s">
        <v>234</v>
      </c>
      <c r="H4" s="1" t="s">
        <v>235</v>
      </c>
    </row>
    <row r="5" spans="1:8" x14ac:dyDescent="0.25">
      <c r="A5" s="12" t="s">
        <v>174</v>
      </c>
      <c r="B5" s="8" cm="1">
        <f t="array" ref="B5">_xlfn.AGGREGATE(15,6,'Liquidity Forecast'!$L$5:$L$184/(('Liquidity Forecast'!$A$5:$A$184=A5)*('Liquidity Forecast'!$C$5:$C$184="E004")),1)</f>
        <v>-54600</v>
      </c>
      <c r="C5" s="14" cm="1">
        <f t="array" ref="C5">_xlfn.AGGREGATE(15,6,'Liquidity Forecast'!$B$5:$B$184/(('Liquidity Forecast'!$A$5:$A$184=A5)*('Liquidity Forecast'!$C$5:$C$184="E004")*('Liquidity Forecast'!$L$5:$L$184=B5)),1)</f>
        <v>46272</v>
      </c>
      <c r="D5" s="8">
        <f>B5-SUMIF(Entities!$A$5:$A$10,"E004",Entities!$D$5:$D$10)</f>
        <v>-254600</v>
      </c>
      <c r="E5">
        <f>COUNTIFS('Liquidity Forecast'!$A$5:$A$184,A5,'Liquidity Forecast'!$C$5:$C$184,"E004",'Liquidity Forecast'!$P$5:$P$184,"BELOW MINIMUM")+COUNTIFS('Liquidity Forecast'!$A$5:$A$184,A5,'Liquidity Forecast'!$C$5:$C$184,"E004",'Liquidity Forecast'!$P$5:$P$184,"NEGATIVE")</f>
        <v>8</v>
      </c>
      <c r="F5">
        <f>COUNTIFS('Liquidity Forecast'!$A$5:$A$184,A5,'Liquidity Forecast'!$C$5:$C$184,"E004",'Liquidity Forecast'!$P$5:$P$184,"NEGATIVE")</f>
        <v>3</v>
      </c>
      <c r="G5" s="8">
        <f>Facilities!G6</f>
        <v>50000</v>
      </c>
      <c r="H5" s="8">
        <f>MAX(0,-B5-G5)</f>
        <v>4600</v>
      </c>
    </row>
    <row r="6" spans="1:8" x14ac:dyDescent="0.25">
      <c r="A6" s="12" t="s">
        <v>177</v>
      </c>
      <c r="B6" s="8" cm="1">
        <f t="array" ref="B6">_xlfn.AGGREGATE(15,6,'Liquidity Forecast'!$L$5:$L$184/(('Liquidity Forecast'!$A$5:$A$184=A6)*('Liquidity Forecast'!$C$5:$C$184="E004")),1)</f>
        <v>-329600</v>
      </c>
      <c r="C6" s="14" cm="1">
        <f t="array" ref="C6">_xlfn.AGGREGATE(15,6,'Liquidity Forecast'!$B$5:$B$184/(('Liquidity Forecast'!$A$5:$A$184=A6)*('Liquidity Forecast'!$C$5:$C$184="E004")*('Liquidity Forecast'!$L$5:$L$184=B6)),1)</f>
        <v>46268</v>
      </c>
      <c r="D6" s="8">
        <f>B6-SUMIF(Entities!$A$5:$A$10,"E004",Entities!$D$5:$D$10)</f>
        <v>-529600</v>
      </c>
      <c r="E6">
        <f>COUNTIFS('Liquidity Forecast'!$A$5:$A$184,A6,'Liquidity Forecast'!$C$5:$C$184,"E004",'Liquidity Forecast'!$P$5:$P$184,"BELOW MINIMUM")+COUNTIFS('Liquidity Forecast'!$A$5:$A$184,A6,'Liquidity Forecast'!$C$5:$C$184,"E004",'Liquidity Forecast'!$P$5:$P$184,"NEGATIVE")</f>
        <v>10</v>
      </c>
      <c r="F6">
        <f>COUNTIFS('Liquidity Forecast'!$A$5:$A$184,A6,'Liquidity Forecast'!$C$5:$C$184,"E004",'Liquidity Forecast'!$P$5:$P$184,"NEGATIVE")</f>
        <v>4</v>
      </c>
      <c r="G6" s="8">
        <f>Facilities!G6</f>
        <v>50000</v>
      </c>
      <c r="H6" s="8">
        <f>MAX(0,-B6-G6)</f>
        <v>279600</v>
      </c>
    </row>
    <row r="7" spans="1:8" x14ac:dyDescent="0.25">
      <c r="A7" s="12" t="s">
        <v>180</v>
      </c>
      <c r="B7" s="8" cm="1">
        <f t="array" ref="B7">_xlfn.AGGREGATE(15,6,'Liquidity Forecast'!$L$5:$L$184/(('Liquidity Forecast'!$A$5:$A$184=A7)*('Liquidity Forecast'!$C$5:$C$184="E004")),1)</f>
        <v>-764600</v>
      </c>
      <c r="C7" s="14" cm="1">
        <f t="array" ref="C7">_xlfn.AGGREGATE(15,6,'Liquidity Forecast'!$B$5:$B$184/(('Liquidity Forecast'!$A$5:$A$184=A7)*('Liquidity Forecast'!$C$5:$C$184="E004")*('Liquidity Forecast'!$L$5:$L$184=B7)),1)</f>
        <v>46272</v>
      </c>
      <c r="D7" s="8">
        <f>B7-SUMIF(Entities!$A$5:$A$10,"E004",Entities!$D$5:$D$10)</f>
        <v>-964600</v>
      </c>
      <c r="E7">
        <f>COUNTIFS('Liquidity Forecast'!$A$5:$A$184,A7,'Liquidity Forecast'!$C$5:$C$184,"E004",'Liquidity Forecast'!$P$5:$P$184,"BELOW MINIMUM")+COUNTIFS('Liquidity Forecast'!$A$5:$A$184,A7,'Liquidity Forecast'!$C$5:$C$184,"E004",'Liquidity Forecast'!$P$5:$P$184,"NEGATIVE")</f>
        <v>10</v>
      </c>
      <c r="F7">
        <f>COUNTIFS('Liquidity Forecast'!$A$5:$A$184,A7,'Liquidity Forecast'!$C$5:$C$184,"E004",'Liquidity Forecast'!$P$5:$P$184,"NEGATIVE")</f>
        <v>7</v>
      </c>
      <c r="G7" s="8">
        <f>Facilities!G6</f>
        <v>50000</v>
      </c>
      <c r="H7" s="8">
        <f>MAX(0,-B7-G7)</f>
        <v>714600</v>
      </c>
    </row>
  </sheetData>
  <mergeCells count="2">
    <mergeCell ref="A2:H2"/>
    <mergeCell ref="A1:H1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1"/>
  <sheetViews>
    <sheetView showGridLines="0" tabSelected="1" workbookViewId="0">
      <selection sqref="A1:I1"/>
    </sheetView>
  </sheetViews>
  <sheetFormatPr defaultRowHeight="15" x14ac:dyDescent="0.25"/>
  <cols>
    <col min="1" max="1" width="12" customWidth="1"/>
    <col min="2" max="2" width="22" customWidth="1"/>
    <col min="3" max="3" width="39" customWidth="1"/>
    <col min="4" max="4" width="20" customWidth="1"/>
    <col min="5" max="5" width="52" customWidth="1"/>
    <col min="6" max="6" width="14" customWidth="1"/>
    <col min="7" max="7" width="24" customWidth="1"/>
    <col min="8" max="8" width="34" customWidth="1"/>
    <col min="9" max="9" width="38" customWidth="1"/>
  </cols>
  <sheetData>
    <row r="1" spans="1:9" ht="26.1" customHeight="1" x14ac:dyDescent="0.25">
      <c r="A1" s="22" t="s">
        <v>236</v>
      </c>
      <c r="B1" s="21"/>
      <c r="C1" s="21"/>
      <c r="D1" s="21"/>
      <c r="E1" s="21"/>
      <c r="F1" s="21"/>
      <c r="G1" s="21"/>
      <c r="H1" s="21"/>
      <c r="I1" s="21"/>
    </row>
    <row r="2" spans="1:9" ht="30" customHeight="1" x14ac:dyDescent="0.25">
      <c r="A2" s="20" t="s">
        <v>237</v>
      </c>
      <c r="B2" s="21"/>
      <c r="C2" s="21"/>
      <c r="D2" s="21"/>
      <c r="E2" s="21"/>
      <c r="F2" s="21"/>
      <c r="G2" s="21"/>
      <c r="H2" s="21"/>
      <c r="I2" s="21"/>
    </row>
    <row r="4" spans="1:9" ht="32.1" customHeight="1" x14ac:dyDescent="0.25">
      <c r="A4" s="1" t="s">
        <v>238</v>
      </c>
      <c r="B4" s="1" t="s">
        <v>239</v>
      </c>
      <c r="C4" s="1" t="s">
        <v>240</v>
      </c>
      <c r="D4" s="1" t="s">
        <v>241</v>
      </c>
      <c r="E4" s="1" t="s">
        <v>80</v>
      </c>
      <c r="F4" s="1" t="s">
        <v>242</v>
      </c>
      <c r="G4" s="1" t="s">
        <v>243</v>
      </c>
      <c r="H4" s="1" t="s">
        <v>244</v>
      </c>
      <c r="I4" s="1" t="s">
        <v>245</v>
      </c>
    </row>
    <row r="5" spans="1:9" x14ac:dyDescent="0.25">
      <c r="A5" s="15" t="s">
        <v>246</v>
      </c>
      <c r="B5" s="16" t="s">
        <v>247</v>
      </c>
      <c r="C5" s="16" t="s">
        <v>248</v>
      </c>
      <c r="D5" s="16" t="s">
        <v>249</v>
      </c>
      <c r="E5" s="16" t="s">
        <v>250</v>
      </c>
      <c r="F5" s="15" t="s">
        <v>42</v>
      </c>
      <c r="G5" s="15" t="s">
        <v>37</v>
      </c>
      <c r="H5" s="16" t="s">
        <v>251</v>
      </c>
      <c r="I5" s="16" t="s">
        <v>252</v>
      </c>
    </row>
    <row r="6" spans="1:9" x14ac:dyDescent="0.25">
      <c r="A6" s="15" t="s">
        <v>253</v>
      </c>
      <c r="B6" s="16" t="s">
        <v>247</v>
      </c>
      <c r="C6" s="16" t="s">
        <v>254</v>
      </c>
      <c r="D6" s="16" t="s">
        <v>255</v>
      </c>
      <c r="E6" s="16" t="s">
        <v>256</v>
      </c>
      <c r="F6" s="15" t="s">
        <v>42</v>
      </c>
      <c r="G6" s="15" t="s">
        <v>37</v>
      </c>
      <c r="H6" s="16" t="s">
        <v>257</v>
      </c>
      <c r="I6" s="16" t="s">
        <v>258</v>
      </c>
    </row>
    <row r="7" spans="1:9" ht="30" x14ac:dyDescent="0.25">
      <c r="A7" s="15" t="s">
        <v>259</v>
      </c>
      <c r="B7" s="16" t="s">
        <v>247</v>
      </c>
      <c r="C7" s="16" t="s">
        <v>260</v>
      </c>
      <c r="D7" s="16" t="s">
        <v>261</v>
      </c>
      <c r="E7" s="16" t="s">
        <v>262</v>
      </c>
      <c r="F7" s="15" t="s">
        <v>42</v>
      </c>
      <c r="G7" s="15" t="s">
        <v>37</v>
      </c>
      <c r="H7" s="16" t="s">
        <v>263</v>
      </c>
      <c r="I7" s="16" t="s">
        <v>264</v>
      </c>
    </row>
    <row r="8" spans="1:9" x14ac:dyDescent="0.25">
      <c r="A8" s="15" t="s">
        <v>265</v>
      </c>
      <c r="B8" s="16" t="s">
        <v>247</v>
      </c>
      <c r="C8" s="16" t="s">
        <v>266</v>
      </c>
      <c r="D8" s="16" t="s">
        <v>267</v>
      </c>
      <c r="E8" s="16" t="s">
        <v>268</v>
      </c>
      <c r="F8" s="15" t="s">
        <v>42</v>
      </c>
      <c r="G8" s="15" t="s">
        <v>37</v>
      </c>
      <c r="H8" s="16" t="s">
        <v>269</v>
      </c>
      <c r="I8" s="16" t="s">
        <v>270</v>
      </c>
    </row>
    <row r="9" spans="1:9" x14ac:dyDescent="0.25">
      <c r="A9" s="15" t="s">
        <v>271</v>
      </c>
      <c r="B9" s="16" t="s">
        <v>272</v>
      </c>
      <c r="C9" s="16" t="s">
        <v>273</v>
      </c>
      <c r="D9" s="16" t="s">
        <v>274</v>
      </c>
      <c r="E9" s="16" t="s">
        <v>275</v>
      </c>
      <c r="F9" s="15" t="s">
        <v>42</v>
      </c>
      <c r="G9" s="15" t="s">
        <v>37</v>
      </c>
      <c r="H9" s="16" t="s">
        <v>276</v>
      </c>
      <c r="I9" s="16" t="s">
        <v>277</v>
      </c>
    </row>
    <row r="10" spans="1:9" x14ac:dyDescent="0.25">
      <c r="A10" s="15" t="s">
        <v>278</v>
      </c>
      <c r="B10" s="16" t="s">
        <v>272</v>
      </c>
      <c r="C10" s="16" t="s">
        <v>279</v>
      </c>
      <c r="D10" s="16" t="s">
        <v>280</v>
      </c>
      <c r="E10" s="16" t="s">
        <v>281</v>
      </c>
      <c r="F10" s="15" t="s">
        <v>42</v>
      </c>
      <c r="G10" s="15" t="s">
        <v>37</v>
      </c>
      <c r="H10" s="16" t="s">
        <v>282</v>
      </c>
      <c r="I10" s="16" t="s">
        <v>283</v>
      </c>
    </row>
    <row r="11" spans="1:9" ht="30" x14ac:dyDescent="0.25">
      <c r="A11" s="15" t="s">
        <v>284</v>
      </c>
      <c r="B11" s="16" t="s">
        <v>285</v>
      </c>
      <c r="C11" s="16" t="s">
        <v>286</v>
      </c>
      <c r="D11" s="16" t="s">
        <v>287</v>
      </c>
      <c r="E11" s="16" t="s">
        <v>288</v>
      </c>
      <c r="F11" s="15" t="s">
        <v>42</v>
      </c>
      <c r="G11" s="15" t="s">
        <v>37</v>
      </c>
      <c r="H11" s="16" t="s">
        <v>289</v>
      </c>
      <c r="I11" s="16" t="s">
        <v>290</v>
      </c>
    </row>
    <row r="12" spans="1:9" ht="30" x14ac:dyDescent="0.25">
      <c r="A12" s="15" t="s">
        <v>291</v>
      </c>
      <c r="B12" s="16" t="s">
        <v>272</v>
      </c>
      <c r="C12" s="16" t="s">
        <v>292</v>
      </c>
      <c r="D12" s="16" t="s">
        <v>293</v>
      </c>
      <c r="E12" s="16" t="s">
        <v>294</v>
      </c>
      <c r="F12" s="15" t="s">
        <v>42</v>
      </c>
      <c r="G12" s="15" t="s">
        <v>37</v>
      </c>
      <c r="H12" s="16" t="s">
        <v>295</v>
      </c>
      <c r="I12" s="16" t="s">
        <v>296</v>
      </c>
    </row>
    <row r="13" spans="1:9" ht="30" x14ac:dyDescent="0.25">
      <c r="A13" s="15" t="s">
        <v>297</v>
      </c>
      <c r="B13" s="16" t="s">
        <v>272</v>
      </c>
      <c r="C13" s="16" t="s">
        <v>298</v>
      </c>
      <c r="D13" s="16" t="s">
        <v>299</v>
      </c>
      <c r="E13" s="16" t="s">
        <v>300</v>
      </c>
      <c r="F13" s="15" t="s">
        <v>37</v>
      </c>
      <c r="G13" s="15" t="s">
        <v>42</v>
      </c>
      <c r="H13" s="16" t="s">
        <v>301</v>
      </c>
      <c r="I13" s="16" t="s">
        <v>302</v>
      </c>
    </row>
    <row r="14" spans="1:9" ht="30" x14ac:dyDescent="0.25">
      <c r="A14" s="15" t="s">
        <v>303</v>
      </c>
      <c r="B14" s="16" t="s">
        <v>304</v>
      </c>
      <c r="C14" s="16" t="s">
        <v>305</v>
      </c>
      <c r="D14" s="16" t="s">
        <v>249</v>
      </c>
      <c r="E14" s="16" t="s">
        <v>306</v>
      </c>
      <c r="F14" s="15" t="s">
        <v>42</v>
      </c>
      <c r="G14" s="15" t="s">
        <v>37</v>
      </c>
      <c r="H14" s="16" t="s">
        <v>307</v>
      </c>
      <c r="I14" s="16" t="s">
        <v>308</v>
      </c>
    </row>
    <row r="15" spans="1:9" ht="30" x14ac:dyDescent="0.25">
      <c r="A15" s="15" t="s">
        <v>309</v>
      </c>
      <c r="B15" s="16" t="s">
        <v>304</v>
      </c>
      <c r="C15" s="16" t="s">
        <v>310</v>
      </c>
      <c r="D15" s="16" t="s">
        <v>311</v>
      </c>
      <c r="E15" s="16" t="s">
        <v>312</v>
      </c>
      <c r="F15" s="15" t="s">
        <v>42</v>
      </c>
      <c r="G15" s="15" t="s">
        <v>37</v>
      </c>
      <c r="H15" s="16" t="s">
        <v>313</v>
      </c>
      <c r="I15" s="16" t="s">
        <v>314</v>
      </c>
    </row>
    <row r="16" spans="1:9" ht="30" x14ac:dyDescent="0.25">
      <c r="A16" s="15" t="s">
        <v>315</v>
      </c>
      <c r="B16" s="16" t="s">
        <v>316</v>
      </c>
      <c r="C16" s="16" t="s">
        <v>317</v>
      </c>
      <c r="D16" s="16" t="s">
        <v>249</v>
      </c>
      <c r="E16" s="16" t="s">
        <v>318</v>
      </c>
      <c r="F16" s="15" t="s">
        <v>42</v>
      </c>
      <c r="G16" s="15" t="s">
        <v>37</v>
      </c>
      <c r="H16" s="16" t="s">
        <v>319</v>
      </c>
      <c r="I16" s="16" t="s">
        <v>320</v>
      </c>
    </row>
    <row r="17" spans="1:9" ht="30" x14ac:dyDescent="0.25">
      <c r="A17" s="15" t="s">
        <v>321</v>
      </c>
      <c r="B17" s="16" t="s">
        <v>316</v>
      </c>
      <c r="C17" s="16" t="s">
        <v>322</v>
      </c>
      <c r="D17" s="16" t="s">
        <v>323</v>
      </c>
      <c r="E17" s="16" t="s">
        <v>324</v>
      </c>
      <c r="F17" s="15" t="s">
        <v>42</v>
      </c>
      <c r="G17" s="15" t="s">
        <v>37</v>
      </c>
      <c r="H17" s="16" t="s">
        <v>325</v>
      </c>
      <c r="I17" s="16" t="s">
        <v>326</v>
      </c>
    </row>
    <row r="18" spans="1:9" x14ac:dyDescent="0.25">
      <c r="A18" s="15" t="s">
        <v>327</v>
      </c>
      <c r="B18" s="16" t="s">
        <v>316</v>
      </c>
      <c r="C18" s="16" t="s">
        <v>328</v>
      </c>
      <c r="D18" s="16" t="s">
        <v>329</v>
      </c>
      <c r="E18" s="16" t="s">
        <v>330</v>
      </c>
      <c r="F18" s="15" t="s">
        <v>42</v>
      </c>
      <c r="G18" s="15" t="s">
        <v>37</v>
      </c>
      <c r="H18" s="16" t="s">
        <v>331</v>
      </c>
      <c r="I18" s="16" t="s">
        <v>332</v>
      </c>
    </row>
    <row r="19" spans="1:9" x14ac:dyDescent="0.25">
      <c r="A19" s="15" t="s">
        <v>333</v>
      </c>
      <c r="B19" s="16" t="s">
        <v>334</v>
      </c>
      <c r="C19" s="16" t="s">
        <v>335</v>
      </c>
      <c r="D19" s="16" t="s">
        <v>336</v>
      </c>
      <c r="E19" s="16" t="s">
        <v>337</v>
      </c>
      <c r="F19" s="15" t="s">
        <v>37</v>
      </c>
      <c r="G19" s="15" t="s">
        <v>42</v>
      </c>
      <c r="H19" s="16" t="s">
        <v>338</v>
      </c>
      <c r="I19" s="16" t="s">
        <v>339</v>
      </c>
    </row>
    <row r="20" spans="1:9" x14ac:dyDescent="0.25">
      <c r="A20" s="15" t="s">
        <v>340</v>
      </c>
      <c r="B20" s="16" t="s">
        <v>341</v>
      </c>
      <c r="C20" s="16" t="s">
        <v>342</v>
      </c>
      <c r="D20" s="16" t="s">
        <v>343</v>
      </c>
      <c r="E20" s="16" t="s">
        <v>344</v>
      </c>
      <c r="F20" s="15" t="s">
        <v>42</v>
      </c>
      <c r="G20" s="15" t="s">
        <v>37</v>
      </c>
      <c r="H20" s="16" t="s">
        <v>345</v>
      </c>
      <c r="I20" s="16" t="s">
        <v>346</v>
      </c>
    </row>
    <row r="21" spans="1:9" x14ac:dyDescent="0.25">
      <c r="A21" s="15" t="s">
        <v>347</v>
      </c>
      <c r="B21" s="16" t="s">
        <v>341</v>
      </c>
      <c r="C21" s="16" t="s">
        <v>348</v>
      </c>
      <c r="D21" s="16" t="s">
        <v>349</v>
      </c>
      <c r="E21" s="16" t="s">
        <v>350</v>
      </c>
      <c r="F21" s="15" t="s">
        <v>42</v>
      </c>
      <c r="G21" s="15" t="s">
        <v>37</v>
      </c>
      <c r="H21" s="16" t="s">
        <v>351</v>
      </c>
      <c r="I21" s="16" t="s">
        <v>352</v>
      </c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9"/>
  <sheetViews>
    <sheetView showGridLines="0" workbookViewId="0">
      <selection sqref="A1:G1"/>
    </sheetView>
  </sheetViews>
  <sheetFormatPr defaultRowHeight="15" x14ac:dyDescent="0.25"/>
  <cols>
    <col min="1" max="1" width="12" customWidth="1"/>
    <col min="2" max="2" width="25" customWidth="1"/>
    <col min="3" max="3" width="58" customWidth="1"/>
    <col min="4" max="4" width="32" customWidth="1"/>
    <col min="5" max="5" width="25" customWidth="1"/>
    <col min="6" max="6" width="42" customWidth="1"/>
    <col min="7" max="7" width="24" customWidth="1"/>
  </cols>
  <sheetData>
    <row r="1" spans="1:7" ht="26.1" customHeight="1" x14ac:dyDescent="0.25">
      <c r="A1" s="22" t="s">
        <v>353</v>
      </c>
      <c r="B1" s="21"/>
      <c r="C1" s="21"/>
      <c r="D1" s="21"/>
      <c r="E1" s="21"/>
      <c r="F1" s="21"/>
      <c r="G1" s="21"/>
    </row>
    <row r="2" spans="1:7" ht="30" customHeight="1" x14ac:dyDescent="0.25">
      <c r="A2" s="20" t="s">
        <v>354</v>
      </c>
      <c r="B2" s="21"/>
      <c r="C2" s="21"/>
      <c r="D2" s="21"/>
      <c r="E2" s="21"/>
      <c r="F2" s="21"/>
      <c r="G2" s="21"/>
    </row>
    <row r="4" spans="1:7" ht="32.1" customHeight="1" x14ac:dyDescent="0.25">
      <c r="A4" s="1" t="s">
        <v>355</v>
      </c>
      <c r="B4" s="1" t="s">
        <v>356</v>
      </c>
      <c r="C4" s="1" t="s">
        <v>357</v>
      </c>
      <c r="D4" s="1" t="s">
        <v>358</v>
      </c>
      <c r="E4" s="1" t="s">
        <v>359</v>
      </c>
      <c r="F4" s="1" t="s">
        <v>360</v>
      </c>
      <c r="G4" s="1" t="s">
        <v>361</v>
      </c>
    </row>
    <row r="5" spans="1:7" x14ac:dyDescent="0.25">
      <c r="A5" s="17" t="s">
        <v>362</v>
      </c>
      <c r="B5" s="18" t="s">
        <v>363</v>
      </c>
      <c r="C5" s="18" t="s">
        <v>364</v>
      </c>
      <c r="D5" s="18" t="s">
        <v>365</v>
      </c>
      <c r="E5" s="18" t="s">
        <v>366</v>
      </c>
      <c r="F5" s="18" t="s">
        <v>367</v>
      </c>
      <c r="G5" s="17" t="s">
        <v>368</v>
      </c>
    </row>
    <row r="6" spans="1:7" ht="30" x14ac:dyDescent="0.25">
      <c r="A6" s="17" t="s">
        <v>369</v>
      </c>
      <c r="B6" s="18" t="s">
        <v>370</v>
      </c>
      <c r="C6" s="18" t="s">
        <v>371</v>
      </c>
      <c r="D6" s="18" t="s">
        <v>372</v>
      </c>
      <c r="E6" s="18" t="s">
        <v>75</v>
      </c>
      <c r="F6" s="18" t="s">
        <v>373</v>
      </c>
      <c r="G6" s="17" t="s">
        <v>374</v>
      </c>
    </row>
    <row r="7" spans="1:7" ht="30" x14ac:dyDescent="0.25">
      <c r="A7" s="17" t="s">
        <v>375</v>
      </c>
      <c r="B7" s="18" t="s">
        <v>376</v>
      </c>
      <c r="C7" s="18" t="s">
        <v>377</v>
      </c>
      <c r="D7" s="18" t="s">
        <v>378</v>
      </c>
      <c r="E7" s="18" t="s">
        <v>75</v>
      </c>
      <c r="F7" s="18" t="s">
        <v>379</v>
      </c>
      <c r="G7" s="17" t="s">
        <v>374</v>
      </c>
    </row>
    <row r="8" spans="1:7" x14ac:dyDescent="0.25">
      <c r="A8" s="17" t="s">
        <v>380</v>
      </c>
      <c r="B8" s="18" t="s">
        <v>381</v>
      </c>
      <c r="C8" s="18" t="s">
        <v>382</v>
      </c>
      <c r="D8" s="18" t="s">
        <v>378</v>
      </c>
      <c r="E8" s="18" t="s">
        <v>383</v>
      </c>
      <c r="F8" s="18" t="s">
        <v>384</v>
      </c>
      <c r="G8" s="17" t="s">
        <v>385</v>
      </c>
    </row>
    <row r="9" spans="1:7" ht="30" x14ac:dyDescent="0.25">
      <c r="A9" s="17" t="s">
        <v>386</v>
      </c>
      <c r="B9" s="18" t="s">
        <v>387</v>
      </c>
      <c r="C9" s="18" t="s">
        <v>388</v>
      </c>
      <c r="D9" s="18" t="s">
        <v>389</v>
      </c>
      <c r="E9" s="18" t="s">
        <v>383</v>
      </c>
      <c r="F9" s="18" t="s">
        <v>390</v>
      </c>
      <c r="G9" s="17" t="s">
        <v>385</v>
      </c>
    </row>
    <row r="10" spans="1:7" x14ac:dyDescent="0.25">
      <c r="A10" s="17" t="s">
        <v>391</v>
      </c>
      <c r="B10" s="18" t="s">
        <v>392</v>
      </c>
      <c r="C10" s="18" t="s">
        <v>393</v>
      </c>
      <c r="D10" s="18" t="s">
        <v>165</v>
      </c>
      <c r="E10" s="18" t="s">
        <v>394</v>
      </c>
      <c r="F10" s="18" t="s">
        <v>395</v>
      </c>
      <c r="G10" s="17" t="s">
        <v>385</v>
      </c>
    </row>
    <row r="11" spans="1:7" x14ac:dyDescent="0.25">
      <c r="A11" s="17" t="s">
        <v>396</v>
      </c>
      <c r="B11" s="18" t="s">
        <v>397</v>
      </c>
      <c r="C11" s="18" t="s">
        <v>398</v>
      </c>
      <c r="D11" s="18" t="s">
        <v>165</v>
      </c>
      <c r="E11" s="18" t="s">
        <v>394</v>
      </c>
      <c r="F11" s="18" t="s">
        <v>399</v>
      </c>
      <c r="G11" s="17" t="s">
        <v>385</v>
      </c>
    </row>
    <row r="12" spans="1:7" ht="30" x14ac:dyDescent="0.25">
      <c r="A12" s="17" t="s">
        <v>400</v>
      </c>
      <c r="B12" s="18" t="s">
        <v>401</v>
      </c>
      <c r="C12" s="18" t="s">
        <v>402</v>
      </c>
      <c r="D12" s="18" t="s">
        <v>403</v>
      </c>
      <c r="E12" s="18" t="s">
        <v>383</v>
      </c>
      <c r="F12" s="18" t="s">
        <v>404</v>
      </c>
      <c r="G12" s="17" t="s">
        <v>385</v>
      </c>
    </row>
    <row r="13" spans="1:7" x14ac:dyDescent="0.25">
      <c r="A13" s="17" t="s">
        <v>405</v>
      </c>
      <c r="B13" s="18" t="s">
        <v>406</v>
      </c>
      <c r="C13" s="18" t="s">
        <v>407</v>
      </c>
      <c r="D13" s="18" t="s">
        <v>408</v>
      </c>
      <c r="E13" s="18" t="s">
        <v>383</v>
      </c>
      <c r="F13" s="18" t="s">
        <v>409</v>
      </c>
      <c r="G13" s="17" t="s">
        <v>410</v>
      </c>
    </row>
    <row r="14" spans="1:7" ht="30" x14ac:dyDescent="0.25">
      <c r="A14" s="17" t="s">
        <v>411</v>
      </c>
      <c r="B14" s="18" t="s">
        <v>125</v>
      </c>
      <c r="C14" s="18" t="s">
        <v>412</v>
      </c>
      <c r="D14" s="18" t="s">
        <v>403</v>
      </c>
      <c r="E14" s="18" t="s">
        <v>383</v>
      </c>
      <c r="F14" s="18" t="s">
        <v>413</v>
      </c>
      <c r="G14" s="17" t="s">
        <v>410</v>
      </c>
    </row>
    <row r="15" spans="1:7" x14ac:dyDescent="0.25">
      <c r="A15" s="17" t="s">
        <v>414</v>
      </c>
      <c r="B15" s="18" t="s">
        <v>415</v>
      </c>
      <c r="C15" s="18" t="s">
        <v>416</v>
      </c>
      <c r="D15" s="18" t="s">
        <v>417</v>
      </c>
      <c r="E15" s="18" t="s">
        <v>383</v>
      </c>
      <c r="F15" s="18" t="s">
        <v>418</v>
      </c>
      <c r="G15" s="17" t="s">
        <v>385</v>
      </c>
    </row>
    <row r="16" spans="1:7" ht="30" x14ac:dyDescent="0.25">
      <c r="A16" s="17" t="s">
        <v>419</v>
      </c>
      <c r="B16" s="18" t="s">
        <v>420</v>
      </c>
      <c r="C16" s="18" t="s">
        <v>421</v>
      </c>
      <c r="D16" s="18" t="s">
        <v>422</v>
      </c>
      <c r="E16" s="18" t="s">
        <v>137</v>
      </c>
      <c r="F16" s="18" t="s">
        <v>423</v>
      </c>
      <c r="G16" s="17" t="s">
        <v>374</v>
      </c>
    </row>
    <row r="17" spans="1:7" x14ac:dyDescent="0.25">
      <c r="A17" s="17" t="s">
        <v>424</v>
      </c>
      <c r="B17" s="18" t="s">
        <v>425</v>
      </c>
      <c r="C17" s="18" t="s">
        <v>426</v>
      </c>
      <c r="D17" s="18" t="s">
        <v>403</v>
      </c>
      <c r="E17" s="18" t="s">
        <v>427</v>
      </c>
      <c r="F17" s="18" t="s">
        <v>428</v>
      </c>
      <c r="G17" s="17" t="s">
        <v>385</v>
      </c>
    </row>
    <row r="18" spans="1:7" ht="30" x14ac:dyDescent="0.25">
      <c r="A18" s="17" t="s">
        <v>429</v>
      </c>
      <c r="B18" s="18" t="s">
        <v>430</v>
      </c>
      <c r="C18" s="18" t="s">
        <v>431</v>
      </c>
      <c r="D18" s="18" t="s">
        <v>432</v>
      </c>
      <c r="E18" s="18" t="s">
        <v>427</v>
      </c>
      <c r="F18" s="18" t="s">
        <v>433</v>
      </c>
      <c r="G18" s="17" t="s">
        <v>385</v>
      </c>
    </row>
    <row r="19" spans="1:7" ht="30" x14ac:dyDescent="0.25">
      <c r="A19" s="17" t="s">
        <v>434</v>
      </c>
      <c r="B19" s="18" t="s">
        <v>435</v>
      </c>
      <c r="C19" s="18" t="s">
        <v>436</v>
      </c>
      <c r="D19" s="18" t="s">
        <v>437</v>
      </c>
      <c r="E19" s="18" t="s">
        <v>438</v>
      </c>
      <c r="F19" s="18" t="s">
        <v>439</v>
      </c>
      <c r="G19" s="17" t="s">
        <v>440</v>
      </c>
    </row>
  </sheetData>
  <mergeCells count="2">
    <mergeCell ref="A2:G2"/>
    <mergeCell ref="A1:G1"/>
  </mergeCell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2"/>
  <sheetViews>
    <sheetView showGridLines="0" workbookViewId="0"/>
  </sheetViews>
  <sheetFormatPr defaultRowHeight="15" x14ac:dyDescent="0.25"/>
  <cols>
    <col min="1" max="1" width="12" customWidth="1"/>
    <col min="2" max="2" width="48" customWidth="1"/>
    <col min="3" max="3" width="18" customWidth="1"/>
    <col min="4" max="5" width="14" customWidth="1"/>
  </cols>
  <sheetData>
    <row r="1" spans="1:5" ht="26.1" customHeight="1" x14ac:dyDescent="0.25">
      <c r="A1" s="22" t="s">
        <v>441</v>
      </c>
      <c r="B1" s="21"/>
      <c r="C1" s="21"/>
      <c r="D1" s="21"/>
      <c r="E1" s="21"/>
    </row>
    <row r="2" spans="1:5" ht="30" customHeight="1" x14ac:dyDescent="0.25">
      <c r="A2" s="20" t="s">
        <v>442</v>
      </c>
      <c r="B2" s="21"/>
      <c r="C2" s="21"/>
      <c r="D2" s="21"/>
      <c r="E2" s="21"/>
    </row>
    <row r="4" spans="1:5" ht="32.1" customHeight="1" x14ac:dyDescent="0.25">
      <c r="A4" s="1" t="s">
        <v>443</v>
      </c>
      <c r="B4" s="1" t="s">
        <v>444</v>
      </c>
      <c r="C4" s="1" t="s">
        <v>445</v>
      </c>
      <c r="D4" s="1" t="s">
        <v>446</v>
      </c>
      <c r="E4" s="1" t="s">
        <v>125</v>
      </c>
    </row>
    <row r="5" spans="1:5" x14ac:dyDescent="0.25">
      <c r="A5" s="12" t="s">
        <v>447</v>
      </c>
      <c r="B5" s="12" t="s">
        <v>448</v>
      </c>
      <c r="C5" s="19">
        <f>SUMPRODUCT((COUNTIF('Opening Balances'!$A$5:$A$14,'Opening Balances'!$A$5:$A$14)&gt;1)*1)</f>
        <v>0</v>
      </c>
      <c r="D5" s="4">
        <v>0</v>
      </c>
      <c r="E5" s="19" t="str">
        <f t="shared" ref="E5:E12" si="0">IF(C5=D5,"PASS","FAIL")</f>
        <v>PASS</v>
      </c>
    </row>
    <row r="6" spans="1:5" x14ac:dyDescent="0.25">
      <c r="A6" s="12" t="s">
        <v>449</v>
      </c>
      <c r="B6" s="12" t="s">
        <v>450</v>
      </c>
      <c r="C6" s="19">
        <f>SUMIFS('Opening Balances'!$I$5:$I$14,'Opening Balances'!$J$5:$J$14,"Y")</f>
        <v>0</v>
      </c>
      <c r="D6" s="4">
        <v>0</v>
      </c>
      <c r="E6" s="19" t="str">
        <f t="shared" si="0"/>
        <v>PASS</v>
      </c>
    </row>
    <row r="7" spans="1:5" x14ac:dyDescent="0.25">
      <c r="A7" s="12" t="s">
        <v>451</v>
      </c>
      <c r="B7" s="12" t="s">
        <v>452</v>
      </c>
      <c r="C7" s="19">
        <f>ABS(Facilities!G5-(Facilities!E5-Facilities!F5))+ABS(Facilities!G6-(Facilities!E6-Facilities!F6))+ABS(Facilities!G7-(Facilities!E7-Facilities!F7))+ABS(Facilities!G8-(Facilities!E8-Facilities!F8))</f>
        <v>0</v>
      </c>
      <c r="D7" s="4">
        <v>0</v>
      </c>
      <c r="E7" s="19" t="str">
        <f t="shared" si="0"/>
        <v>PASS</v>
      </c>
    </row>
    <row r="8" spans="1:5" x14ac:dyDescent="0.25">
      <c r="A8" s="12" t="s">
        <v>453</v>
      </c>
      <c r="B8" s="12" t="s">
        <v>454</v>
      </c>
      <c r="C8" s="19">
        <f>SUMPRODUCT(('Liquidity Forecast'!$G$6:$G$184&lt;&gt;'Liquidity Forecast'!$L$5:$L$183)*('Liquidity Forecast'!$C$6:$C$184='Liquidity Forecast'!$C$5:$C$183)*('Liquidity Forecast'!$A$6:$A$184='Liquidity Forecast'!$A$5:$A$183))</f>
        <v>0</v>
      </c>
      <c r="D8" s="4">
        <v>0</v>
      </c>
      <c r="E8" s="19" t="str">
        <f t="shared" si="0"/>
        <v>PASS</v>
      </c>
    </row>
    <row r="9" spans="1:5" x14ac:dyDescent="0.25">
      <c r="A9" s="12" t="s">
        <v>455</v>
      </c>
      <c r="B9" s="12" t="s">
        <v>456</v>
      </c>
      <c r="C9" s="19">
        <f>COUNTIFS('Liquidity Forecast'!$A$5:$A$184,"Reported",'Liquidity Forecast'!$C$5:$C$184,"E004",'Liquidity Forecast'!$I$5:$I$184,620000)</f>
        <v>1</v>
      </c>
      <c r="D9" s="4">
        <v>1</v>
      </c>
      <c r="E9" s="19" t="str">
        <f t="shared" si="0"/>
        <v>PASS</v>
      </c>
    </row>
    <row r="10" spans="1:5" x14ac:dyDescent="0.25">
      <c r="A10" s="12" t="s">
        <v>457</v>
      </c>
      <c r="B10" s="12" t="s">
        <v>458</v>
      </c>
      <c r="C10" s="19">
        <f>COUNTIFS('Liquidity Forecast'!$A$5:$A$184,"Downside",'Liquidity Forecast'!$C$5:$C$184,"E004",'Liquidity Forecast'!$I$5:$I$184,620000)</f>
        <v>1</v>
      </c>
      <c r="D10" s="4">
        <v>1</v>
      </c>
      <c r="E10" s="19" t="str">
        <f t="shared" si="0"/>
        <v>PASS</v>
      </c>
    </row>
    <row r="11" spans="1:5" x14ac:dyDescent="0.25">
      <c r="A11" s="12" t="s">
        <v>459</v>
      </c>
      <c r="B11" s="12" t="s">
        <v>460</v>
      </c>
      <c r="C11" s="19">
        <f>COUNTIFS('Liquidity Forecast'!$A$5:$A$184,"Stress",'Liquidity Forecast'!$C$5:$C$184,"E004",'Liquidity Forecast'!$I$5:$I$184,620000)</f>
        <v>1</v>
      </c>
      <c r="D11" s="4">
        <v>1</v>
      </c>
      <c r="E11" s="19" t="str">
        <f t="shared" si="0"/>
        <v>PASS</v>
      </c>
    </row>
    <row r="12" spans="1:5" x14ac:dyDescent="0.25">
      <c r="A12" s="12" t="s">
        <v>461</v>
      </c>
      <c r="B12" s="12" t="s">
        <v>462</v>
      </c>
      <c r="C12" s="19">
        <f>COUNTIFS('Liquidity Forecast'!$A$5:$A$184,"Stress",'Liquidity Forecast'!$C$5:$C$184,"E004",'Liquidity Forecast'!$J$5:$J$184,-90000)</f>
        <v>1</v>
      </c>
      <c r="D12" s="4">
        <v>1</v>
      </c>
      <c r="E12" s="19" t="str">
        <f t="shared" si="0"/>
        <v>PASS</v>
      </c>
    </row>
  </sheetData>
  <mergeCells count="2">
    <mergeCell ref="A2:E2"/>
    <mergeCell ref="A1:E1"/>
  </mergeCells>
  <conditionalFormatting sqref="E5:E12">
    <cfRule type="expression" dxfId="1" priority="1">
      <formula>E5="FAIL"</formula>
    </cfRule>
    <cfRule type="expression" dxfId="0" priority="2">
      <formula>E5="PASS"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Entities</vt:lpstr>
      <vt:lpstr>Alias Map</vt:lpstr>
      <vt:lpstr>Opening Balances</vt:lpstr>
      <vt:lpstr>Approved FX</vt:lpstr>
      <vt:lpstr>Facilities</vt:lpstr>
      <vt:lpstr>Scenario Assumptions</vt:lpstr>
      <vt:lpstr>Cash Flow Ledger</vt:lpstr>
      <vt:lpstr>Liquidity Forecast</vt:lpstr>
      <vt:lpstr>Scenario Summary</vt:lpstr>
      <vt:lpstr>Accepted Treatments</vt:lpstr>
      <vt:lpstr>Calculation Spec</vt:lpstr>
      <vt:lpstr>Model 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 Smith</dc:creator>
  <cp:lastModifiedBy>Zachary Smith</cp:lastModifiedBy>
  <dcterms:created xsi:type="dcterms:W3CDTF">2026-08-28T12:19:56Z</dcterms:created>
  <dcterms:modified xsi:type="dcterms:W3CDTF">2026-08-29T22:52:39Z</dcterms:modified>
</cp:coreProperties>
</file>